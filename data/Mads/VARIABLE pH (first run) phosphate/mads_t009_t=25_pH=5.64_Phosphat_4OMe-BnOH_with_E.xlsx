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anes" sheetId="1" state="visible" r:id="rId2"/>
    <sheet name="Sheet1" sheetId="2" state="visible" r:id="rId3"/>
    <sheet name="Sheet2" sheetId="3" state="visible" r:id="rId4"/>
  </sheets>
  <definedNames>
    <definedName function="false" hidden="false" localSheetId="2" name="data9_1" vbProcedure="false">Sheet2!$A$1:$H$301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<sst xmlns="http://schemas.openxmlformats.org/spreadsheetml/2006/main" count="181" uniqueCount="118">
  <si>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</si>
  <si>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</si>
  <si>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</si>
  <si>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</si>
  <si>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</si>
  <si>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</si>
  <si>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</si>
  <si>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</si>
  <si>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</si>
  <si>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</si>
  <si>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</si>
  <si>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</si>
  <si>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</si>
  <si>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</si>
  <si>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</si>
  <si>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</si>
  <si>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</si>
  <si>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</si>
  <si>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</si>
  <si>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</si>
  <si>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</si>
  <si>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</si>
  <si>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</si>
  <si>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</si>
  <si>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X Variable 1</t>
  </si>
  <si>
    <t xml:space="preserve">RESIDUAL OUTPUT</t>
  </si>
  <si>
    <t xml:space="preserve">PROBABILITY OUTPUT</t>
  </si>
  <si>
    <t xml:space="preserve">Observation</t>
  </si>
  <si>
    <t xml:space="preserve">Predicted Y</t>
  </si>
  <si>
    <t xml:space="preserve">Residuals</t>
  </si>
  <si>
    <t xml:space="preserve">Standard Residuals</t>
  </si>
  <si>
    <t xml:space="preserve">Percentile</t>
  </si>
  <si>
    <t xml:space="preserve">Y</t>
  </si>
  <si>
    <t xml:space="preserve">nm</t>
  </si>
  <si>
    <t xml:space="preserve">e</t>
  </si>
  <si>
    <t xml:space="preserve">4-methoxy-benzylalkohol</t>
  </si>
  <si>
    <t xml:space="preserve">Enz</t>
  </si>
  <si>
    <t xml:space="preserve">H202 30%</t>
  </si>
  <si>
    <t xml:space="preserve">H2O</t>
  </si>
  <si>
    <t xml:space="preserve">a-diesterketon</t>
  </si>
  <si>
    <t xml:space="preserve">ml</t>
  </si>
  <si>
    <t xml:space="preserve">g/mol</t>
  </si>
  <si>
    <t xml:space="preserve">g</t>
  </si>
  <si>
    <t xml:space="preserve">[H2O2]</t>
  </si>
  <si>
    <t xml:space="preserve">l</t>
  </si>
  <si>
    <t xml:space="preserve">mol/l</t>
  </si>
  <si>
    <t xml:space="preserve">mol</t>
  </si>
  <si>
    <t xml:space="preserve">pH</t>
  </si>
  <si>
    <t xml:space="preserve">mmol/l</t>
  </si>
  <si>
    <t xml:space="preserve">kuv</t>
  </si>
  <si>
    <t xml:space="preserve">[sub]</t>
  </si>
  <si>
    <t xml:space="preserve">[Enz]</t>
  </si>
  <si>
    <t xml:space="preserve">Buf [ml]</t>
  </si>
  <si>
    <t xml:space="preserve">H2O [ml]</t>
  </si>
  <si>
    <t xml:space="preserve">Enz [ml]</t>
  </si>
  <si>
    <t xml:space="preserve">Sub [ml]</t>
  </si>
  <si>
    <t xml:space="preserve">H2O2 [ml]</t>
  </si>
  <si>
    <t xml:space="preserve">Vol [ml]</t>
  </si>
  <si>
    <t xml:space="preserve">Vmax</t>
  </si>
  <si>
    <t xml:space="preserve">U/min</t>
  </si>
  <si>
    <t xml:space="preserve">mM/min</t>
  </si>
  <si>
    <t xml:space="preserve">Km</t>
  </si>
  <si>
    <t xml:space="preserve">mmol/L</t>
  </si>
  <si>
    <t xml:space="preserve">kcat</t>
  </si>
  <si>
    <t xml:space="preserve">min^-1</t>
  </si>
  <si>
    <t xml:space="preserve">s-1</t>
  </si>
  <si>
    <t xml:space="preserve">kuncat</t>
  </si>
  <si>
    <t xml:space="preserve">s^-1</t>
  </si>
  <si>
    <t xml:space="preserve">kcat/uncat</t>
  </si>
  <si>
    <t xml:space="preserve">The cuvetts were washed three times in water and three times in iso-propyl aclohole and dried in the owen for 20 min. </t>
  </si>
  <si>
    <t xml:space="preserve">The buffer was added as 1*1ml plus x*0,2 ml, with x=3,2,1 respectivly.</t>
  </si>
  <si>
    <t xml:space="preserve">The substrate was added as x*0.2 ml, with x=1,2,3,4 respectivly.</t>
  </si>
  <si>
    <t xml:space="preserve">The cuvetts were stired for 10 sec each on the "automatic stirrer" at full speed before they were placed in the spectrometer. </t>
  </si>
  <si>
    <t xml:space="preserve">Kinetics Experiment - 009 best fit 2</t>
  </si>
  <si>
    <t xml:space="preserve">Conc. Units</t>
  </si>
  <si>
    <t xml:space="preserve">Hanes-Woolf</t>
  </si>
  <si>
    <t xml:space="preserve">Raw Data</t>
  </si>
  <si>
    <t xml:space="preserve">Parameters</t>
  </si>
  <si>
    <t xml:space="preserve">[I]=0.000</t>
  </si>
  <si>
    <t xml:space="preserve">Sample</t>
  </si>
  <si>
    <t xml:space="preserve">[S]</t>
  </si>
  <si>
    <t xml:space="preserve">[I]</t>
  </si>
  <si>
    <t xml:space="preserve">V</t>
  </si>
  <si>
    <t xml:space="preserve">Use</t>
  </si>
  <si>
    <t xml:space="preserve">Calculated Values</t>
  </si>
  <si>
    <t xml:space="preserve">Sample001</t>
  </si>
  <si>
    <t xml:space="preserve">Yes</t>
  </si>
  <si>
    <t xml:space="preserve">VMax</t>
  </si>
  <si>
    <t xml:space="preserve">Sample002</t>
  </si>
  <si>
    <t xml:space="preserve">No</t>
  </si>
  <si>
    <t xml:space="preserve">sample003</t>
  </si>
  <si>
    <t xml:space="preserve">Statistics</t>
  </si>
  <si>
    <t xml:space="preserve">Sample004</t>
  </si>
  <si>
    <t xml:space="preserve">Chi Squared</t>
  </si>
  <si>
    <t xml:space="preserve">Corr.Coeff.</t>
  </si>
  <si>
    <t xml:space="preserve">Batch</t>
  </si>
  <si>
    <t xml:space="preserve">mads_t009.rre</t>
  </si>
  <si>
    <t xml:space="preserve">Evolution 600</t>
  </si>
  <si>
    <t xml:space="preserve">Data Mode</t>
  </si>
  <si>
    <t xml:space="preserve">A</t>
  </si>
  <si>
    <t xml:space="preserve">Smoothing</t>
  </si>
  <si>
    <t xml:space="preserve">None</t>
  </si>
  <si>
    <t xml:space="preserve">Date Collected</t>
  </si>
  <si>
    <t xml:space="preserve">4/14/2010</t>
  </si>
  <si>
    <t xml:space="preserve">Time Collected</t>
  </si>
  <si>
    <t xml:space="preserve">2:08:59PM</t>
  </si>
  <si>
    <t xml:space="preserve">2:09:05PM</t>
  </si>
  <si>
    <t xml:space="preserve">2:09:12PM</t>
  </si>
  <si>
    <t xml:space="preserve">6:03:55PM</t>
  </si>
  <si>
    <t xml:space="preserve">Substrate Conc.</t>
  </si>
  <si>
    <t xml:space="preserve">1.8498 mmol/l</t>
  </si>
  <si>
    <t xml:space="preserve">3.6966 mmol/l</t>
  </si>
  <si>
    <t xml:space="preserve">5.5493 mmol/l</t>
  </si>
  <si>
    <t xml:space="preserve">7.3990 mmol/l</t>
  </si>
  <si>
    <t xml:space="preserve">ss.sss</t>
  </si>
  <si>
    <t xml:space="preserve">Value</t>
  </si>
  <si>
    <t xml:space="preserve">S</t>
  </si>
  <si>
    <t xml:space="preserve">S/V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</si>
</sst>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E+00"/>
    <numFmt numFmtId="167" formatCode="mm/dd/yyyy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2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18"/>
      <color rgb="FF757575"/>
      <name val="Calibri"/>
      <family val="2"/>
    </font>
    <font>
      <sz val="10"/>
      <color rgb="FF1A1A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hanes!$C$25:$C$27</c:f>
              <c:numCache>
                <c:formatCode>General</c:formatCode>
                <c:ptCount val="3"/>
                <c:pt idx="0">
                  <c:v>-6083.05662562903</c:v>
                </c:pt>
                <c:pt idx="1">
                  <c:v>10645.349094851</c:v>
                </c:pt>
                <c:pt idx="2">
                  <c:v>-4562.29246922184</c:v>
                </c:pt>
              </c:numCache>
            </c:numRef>
          </c:yVal>
          <c:smooth val="1"/>
        </c:ser>
        <c:axId val="58387831"/>
        <c:axId val="73523035"/>
      </c:scatterChart>
      <c:valAx>
        <c:axId val="583878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X Variable 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3523035"/>
        <c:crosses val="autoZero"/>
        <c:crossBetween val="midCat"/>
      </c:valAx>
      <c:valAx>
        <c:axId val="7352303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8387831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57498890"/>
        <c:axId val="75844748"/>
      </c:barChart>
      <c:catAx>
        <c:axId val="57498890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75844748"/>
        <c:auto val="1"/>
        <c:lblAlgn val="ctr"/>
        <c:lblOffset val="100"/>
        <c:noMultiLvlLbl val="0"/>
      </c:catAx>
      <c:valAx>
        <c:axId val="75844748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57498890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Normal Probability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hanes!$F$25:$F$27</c:f>
              <c:numCache>
                <c:formatCode>General</c:formatCode>
                <c:ptCount val="3"/>
                <c:pt idx="0">
                  <c:v>16.6666666666667</c:v>
                </c:pt>
                <c:pt idx="1">
                  <c:v>50</c:v>
                </c:pt>
                <c:pt idx="2">
                  <c:v>83.3333333333333</c:v>
                </c:pt>
              </c:numCache>
            </c:numRef>
          </c:xVal>
          <c:yVal>
            <c:numRef>
              <c:f>hanes!$G$25:$G$27</c:f>
              <c:numCache>
                <c:formatCode>General</c:formatCode>
                <c:ptCount val="3"/>
                <c:pt idx="0">
                  <c:v>45792.3755422642</c:v>
                </c:pt>
                <c:pt idx="1">
                  <c:v>113880.884059932</c:v>
                </c:pt>
                <c:pt idx="2">
                  <c:v>167153.379558776</c:v>
                </c:pt>
              </c:numCache>
            </c:numRef>
          </c:yVal>
          <c:smooth val="1"/>
        </c:ser>
        <c:axId val="77673753"/>
        <c:axId val="84208895"/>
      </c:scatterChart>
      <c:valAx>
        <c:axId val="776737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Sample Percentile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4208895"/>
        <c:crosses val="autoZero"/>
        <c:crossBetween val="midCat"/>
      </c:valAx>
      <c:valAx>
        <c:axId val="8420889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7673753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hanes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88506630"/>
        <c:axId val="67165542"/>
      </c:barChart>
      <c:catAx>
        <c:axId val="88506630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67165542"/>
        <c:auto val="1"/>
        <c:lblAlgn val="ctr"/>
        <c:lblOffset val="100"/>
        <c:noMultiLvlLbl val="0"/>
      </c:catAx>
      <c:valAx>
        <c:axId val="67165542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88506630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1.8498 mmol/l/Value, Substrate Conc./ss.sss, 3.6966 mmol/l/Value, Substrate Conc./ss.sss, 5.5493 mmol/l/Value…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Sheet2!$B$9:$B$10</c:f>
              <c:strCache>
                <c:ptCount val="1"/>
                <c:pt idx="0">
                  <c:v>1.8498 mmol/l Value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Sheet2!$A$11:$A$100</c:f>
              <c:numCache>
                <c:formatCode>General</c:formatCode>
                <c:ptCount val="90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</c:numCache>
            </c:numRef>
          </c:xVal>
          <c:yVal>
            <c:numRef>
              <c:f>Sheet2!$B$11:$B$100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</c:v>
                </c:pt>
                <c:pt idx="5">
                  <c:v>0</c:v>
                </c:pt>
                <c:pt idx="6">
                  <c:v>0.001</c:v>
                </c:pt>
                <c:pt idx="7">
                  <c:v>0.001</c:v>
                </c:pt>
                <c:pt idx="8">
                  <c:v>0.001</c:v>
                </c:pt>
                <c:pt idx="9">
                  <c:v>0.001</c:v>
                </c:pt>
                <c:pt idx="10">
                  <c:v>0.002</c:v>
                </c:pt>
                <c:pt idx="11">
                  <c:v>0.001</c:v>
                </c:pt>
                <c:pt idx="12">
                  <c:v>0.002</c:v>
                </c:pt>
                <c:pt idx="13">
                  <c:v>0.001</c:v>
                </c:pt>
                <c:pt idx="14">
                  <c:v>0.002</c:v>
                </c:pt>
                <c:pt idx="15">
                  <c:v>0.002</c:v>
                </c:pt>
                <c:pt idx="16">
                  <c:v>0.002</c:v>
                </c:pt>
                <c:pt idx="17">
                  <c:v>0.002</c:v>
                </c:pt>
                <c:pt idx="18">
                  <c:v>0.002</c:v>
                </c:pt>
                <c:pt idx="19">
                  <c:v>0.002</c:v>
                </c:pt>
                <c:pt idx="20">
                  <c:v>0.002</c:v>
                </c:pt>
                <c:pt idx="21">
                  <c:v>0.002</c:v>
                </c:pt>
                <c:pt idx="22">
                  <c:v>0.003</c:v>
                </c:pt>
                <c:pt idx="23">
                  <c:v>0.003</c:v>
                </c:pt>
                <c:pt idx="24">
                  <c:v>0.002</c:v>
                </c:pt>
                <c:pt idx="25">
                  <c:v>0.003</c:v>
                </c:pt>
                <c:pt idx="26">
                  <c:v>0.003</c:v>
                </c:pt>
                <c:pt idx="27">
                  <c:v>0.002</c:v>
                </c:pt>
                <c:pt idx="28">
                  <c:v>0.002</c:v>
                </c:pt>
                <c:pt idx="29">
                  <c:v>0.003</c:v>
                </c:pt>
                <c:pt idx="30">
                  <c:v>0.002</c:v>
                </c:pt>
                <c:pt idx="31">
                  <c:v>0.003</c:v>
                </c:pt>
                <c:pt idx="32">
                  <c:v>0.004</c:v>
                </c:pt>
                <c:pt idx="33">
                  <c:v>0.004</c:v>
                </c:pt>
                <c:pt idx="34">
                  <c:v>0.003</c:v>
                </c:pt>
                <c:pt idx="35">
                  <c:v>0.004</c:v>
                </c:pt>
                <c:pt idx="36">
                  <c:v>0.003</c:v>
                </c:pt>
                <c:pt idx="37">
                  <c:v>0.003</c:v>
                </c:pt>
                <c:pt idx="38">
                  <c:v>0.004</c:v>
                </c:pt>
                <c:pt idx="39">
                  <c:v>0.004</c:v>
                </c:pt>
                <c:pt idx="40">
                  <c:v>0.004</c:v>
                </c:pt>
                <c:pt idx="41">
                  <c:v>0.003</c:v>
                </c:pt>
                <c:pt idx="42">
                  <c:v>0.004</c:v>
                </c:pt>
                <c:pt idx="43">
                  <c:v>0.004</c:v>
                </c:pt>
                <c:pt idx="44">
                  <c:v>0.003</c:v>
                </c:pt>
                <c:pt idx="45">
                  <c:v>0.004</c:v>
                </c:pt>
                <c:pt idx="46">
                  <c:v>0.003</c:v>
                </c:pt>
                <c:pt idx="47">
                  <c:v>0.004</c:v>
                </c:pt>
                <c:pt idx="48">
                  <c:v>0.005</c:v>
                </c:pt>
                <c:pt idx="49">
                  <c:v>0.004</c:v>
                </c:pt>
                <c:pt idx="50">
                  <c:v>0.005</c:v>
                </c:pt>
                <c:pt idx="51">
                  <c:v>0.005</c:v>
                </c:pt>
                <c:pt idx="52">
                  <c:v>0.004</c:v>
                </c:pt>
                <c:pt idx="53">
                  <c:v>0.004</c:v>
                </c:pt>
                <c:pt idx="54">
                  <c:v>0.005</c:v>
                </c:pt>
                <c:pt idx="55">
                  <c:v>0.005</c:v>
                </c:pt>
                <c:pt idx="56">
                  <c:v>0.005</c:v>
                </c:pt>
                <c:pt idx="57">
                  <c:v>0.005</c:v>
                </c:pt>
                <c:pt idx="58">
                  <c:v>0.004</c:v>
                </c:pt>
                <c:pt idx="59">
                  <c:v>0.005</c:v>
                </c:pt>
                <c:pt idx="60">
                  <c:v>0.005</c:v>
                </c:pt>
                <c:pt idx="61">
                  <c:v>0.005</c:v>
                </c:pt>
                <c:pt idx="62">
                  <c:v>0.004</c:v>
                </c:pt>
                <c:pt idx="63">
                  <c:v>0.005</c:v>
                </c:pt>
                <c:pt idx="64">
                  <c:v>0.005</c:v>
                </c:pt>
                <c:pt idx="65">
                  <c:v>0.005</c:v>
                </c:pt>
                <c:pt idx="66">
                  <c:v>0.005</c:v>
                </c:pt>
                <c:pt idx="67">
                  <c:v>0.005</c:v>
                </c:pt>
                <c:pt idx="68">
                  <c:v>0.005</c:v>
                </c:pt>
                <c:pt idx="69">
                  <c:v>0.006</c:v>
                </c:pt>
                <c:pt idx="70">
                  <c:v>0.005</c:v>
                </c:pt>
                <c:pt idx="71">
                  <c:v>0.005</c:v>
                </c:pt>
                <c:pt idx="72">
                  <c:v>0.005</c:v>
                </c:pt>
                <c:pt idx="73">
                  <c:v>0.005</c:v>
                </c:pt>
                <c:pt idx="74">
                  <c:v>0.005</c:v>
                </c:pt>
                <c:pt idx="75">
                  <c:v>0.005</c:v>
                </c:pt>
                <c:pt idx="76">
                  <c:v>0.005</c:v>
                </c:pt>
                <c:pt idx="77">
                  <c:v>0.005</c:v>
                </c:pt>
                <c:pt idx="78">
                  <c:v>0.006</c:v>
                </c:pt>
                <c:pt idx="79">
                  <c:v>0.006</c:v>
                </c:pt>
                <c:pt idx="80">
                  <c:v>0.006</c:v>
                </c:pt>
                <c:pt idx="81">
                  <c:v>0.006</c:v>
                </c:pt>
                <c:pt idx="82">
                  <c:v>0.006</c:v>
                </c:pt>
                <c:pt idx="83">
                  <c:v>0.006</c:v>
                </c:pt>
                <c:pt idx="84">
                  <c:v>0.007</c:v>
                </c:pt>
                <c:pt idx="85">
                  <c:v>0.006</c:v>
                </c:pt>
                <c:pt idx="86">
                  <c:v>0.006</c:v>
                </c:pt>
                <c:pt idx="87">
                  <c:v>0.006</c:v>
                </c:pt>
                <c:pt idx="88">
                  <c:v>0.007</c:v>
                </c:pt>
                <c:pt idx="89">
                  <c:v>0.008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Sheet2!$D$9:$D$10</c:f>
              <c:strCache>
                <c:ptCount val="1"/>
                <c:pt idx="0">
                  <c:v>3.6966 mmol/l Value</c:v>
                </c:pt>
              </c:strCache>
            </c:strRef>
          </c:tx>
          <c:spPr>
            <a:solidFill>
              <a:srgbClr val="c0504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Sheet2!$A$11:$A$100</c:f>
              <c:numCache>
                <c:formatCode>General</c:formatCode>
                <c:ptCount val="90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</c:numCache>
            </c:numRef>
          </c:xVal>
          <c:yVal>
            <c:numRef>
              <c:f>Sheet2!$D$11:$D$100</c:f>
              <c:numCache>
                <c:formatCode>General</c:formatCode>
                <c:ptCount val="90"/>
                <c:pt idx="0">
                  <c:v>0.006</c:v>
                </c:pt>
                <c:pt idx="1">
                  <c:v>0.006</c:v>
                </c:pt>
                <c:pt idx="2">
                  <c:v>0.007</c:v>
                </c:pt>
                <c:pt idx="3">
                  <c:v>0.008</c:v>
                </c:pt>
                <c:pt idx="4">
                  <c:v>0.008</c:v>
                </c:pt>
                <c:pt idx="5">
                  <c:v>0.009</c:v>
                </c:pt>
                <c:pt idx="6">
                  <c:v>0.008</c:v>
                </c:pt>
                <c:pt idx="7">
                  <c:v>0.009</c:v>
                </c:pt>
                <c:pt idx="8">
                  <c:v>0.009</c:v>
                </c:pt>
                <c:pt idx="9">
                  <c:v>0.01</c:v>
                </c:pt>
                <c:pt idx="10">
                  <c:v>0.01</c:v>
                </c:pt>
                <c:pt idx="11">
                  <c:v>0.011</c:v>
                </c:pt>
                <c:pt idx="12">
                  <c:v>0.011</c:v>
                </c:pt>
                <c:pt idx="13">
                  <c:v>0.012</c:v>
                </c:pt>
                <c:pt idx="14">
                  <c:v>0.012</c:v>
                </c:pt>
                <c:pt idx="15">
                  <c:v>0.013</c:v>
                </c:pt>
                <c:pt idx="16">
                  <c:v>0.013</c:v>
                </c:pt>
                <c:pt idx="17">
                  <c:v>0.013</c:v>
                </c:pt>
                <c:pt idx="18">
                  <c:v>0.014</c:v>
                </c:pt>
                <c:pt idx="19">
                  <c:v>0.014</c:v>
                </c:pt>
                <c:pt idx="20">
                  <c:v>0.015</c:v>
                </c:pt>
                <c:pt idx="21">
                  <c:v>0.015</c:v>
                </c:pt>
                <c:pt idx="22">
                  <c:v>0.016</c:v>
                </c:pt>
                <c:pt idx="23">
                  <c:v>0.016</c:v>
                </c:pt>
                <c:pt idx="24">
                  <c:v>0.017</c:v>
                </c:pt>
                <c:pt idx="25">
                  <c:v>0.016</c:v>
                </c:pt>
                <c:pt idx="26">
                  <c:v>0.018</c:v>
                </c:pt>
                <c:pt idx="27">
                  <c:v>0.017</c:v>
                </c:pt>
                <c:pt idx="28">
                  <c:v>0.018</c:v>
                </c:pt>
                <c:pt idx="29">
                  <c:v>0.019</c:v>
                </c:pt>
                <c:pt idx="30">
                  <c:v>0.019</c:v>
                </c:pt>
                <c:pt idx="31">
                  <c:v>0.019</c:v>
                </c:pt>
                <c:pt idx="32">
                  <c:v>0.019</c:v>
                </c:pt>
                <c:pt idx="33">
                  <c:v>0.02</c:v>
                </c:pt>
                <c:pt idx="34">
                  <c:v>0.021</c:v>
                </c:pt>
                <c:pt idx="35">
                  <c:v>0.02</c:v>
                </c:pt>
                <c:pt idx="36">
                  <c:v>0.021</c:v>
                </c:pt>
                <c:pt idx="37">
                  <c:v>0.021</c:v>
                </c:pt>
                <c:pt idx="38">
                  <c:v>0.022</c:v>
                </c:pt>
                <c:pt idx="39">
                  <c:v>0.022</c:v>
                </c:pt>
                <c:pt idx="40">
                  <c:v>0.023</c:v>
                </c:pt>
                <c:pt idx="41">
                  <c:v>0.023</c:v>
                </c:pt>
                <c:pt idx="42">
                  <c:v>0.024</c:v>
                </c:pt>
                <c:pt idx="43">
                  <c:v>0.024</c:v>
                </c:pt>
                <c:pt idx="44">
                  <c:v>0.025</c:v>
                </c:pt>
                <c:pt idx="45">
                  <c:v>0.025</c:v>
                </c:pt>
                <c:pt idx="46">
                  <c:v>0.026</c:v>
                </c:pt>
                <c:pt idx="47">
                  <c:v>0.026</c:v>
                </c:pt>
                <c:pt idx="48">
                  <c:v>0.026</c:v>
                </c:pt>
                <c:pt idx="49">
                  <c:v>0.027</c:v>
                </c:pt>
                <c:pt idx="50">
                  <c:v>0.027</c:v>
                </c:pt>
                <c:pt idx="51">
                  <c:v>0.028</c:v>
                </c:pt>
                <c:pt idx="52">
                  <c:v>0.028</c:v>
                </c:pt>
                <c:pt idx="53">
                  <c:v>0.028</c:v>
                </c:pt>
                <c:pt idx="54">
                  <c:v>0.029</c:v>
                </c:pt>
                <c:pt idx="55">
                  <c:v>0.029</c:v>
                </c:pt>
                <c:pt idx="56">
                  <c:v>0.03</c:v>
                </c:pt>
                <c:pt idx="57">
                  <c:v>0.03</c:v>
                </c:pt>
                <c:pt idx="58">
                  <c:v>0.03</c:v>
                </c:pt>
                <c:pt idx="59">
                  <c:v>0.03</c:v>
                </c:pt>
                <c:pt idx="60">
                  <c:v>0.031</c:v>
                </c:pt>
                <c:pt idx="61">
                  <c:v>0.031</c:v>
                </c:pt>
                <c:pt idx="62">
                  <c:v>0.032</c:v>
                </c:pt>
                <c:pt idx="63">
                  <c:v>0.033</c:v>
                </c:pt>
                <c:pt idx="64">
                  <c:v>0.033</c:v>
                </c:pt>
                <c:pt idx="65">
                  <c:v>0.033</c:v>
                </c:pt>
                <c:pt idx="66">
                  <c:v>0.034</c:v>
                </c:pt>
                <c:pt idx="67">
                  <c:v>0.034</c:v>
                </c:pt>
                <c:pt idx="68">
                  <c:v>0.035</c:v>
                </c:pt>
                <c:pt idx="69">
                  <c:v>0.034</c:v>
                </c:pt>
                <c:pt idx="70">
                  <c:v>0.034</c:v>
                </c:pt>
                <c:pt idx="71">
                  <c:v>0.035</c:v>
                </c:pt>
                <c:pt idx="72">
                  <c:v>0.036</c:v>
                </c:pt>
                <c:pt idx="73">
                  <c:v>0.036</c:v>
                </c:pt>
                <c:pt idx="74">
                  <c:v>0.037</c:v>
                </c:pt>
                <c:pt idx="75">
                  <c:v>0.037</c:v>
                </c:pt>
                <c:pt idx="76">
                  <c:v>0.037</c:v>
                </c:pt>
                <c:pt idx="77">
                  <c:v>0.038</c:v>
                </c:pt>
                <c:pt idx="78">
                  <c:v>0.038</c:v>
                </c:pt>
                <c:pt idx="79">
                  <c:v>0.039</c:v>
                </c:pt>
                <c:pt idx="80">
                  <c:v>0.039</c:v>
                </c:pt>
                <c:pt idx="81">
                  <c:v>0.038</c:v>
                </c:pt>
                <c:pt idx="82">
                  <c:v>0.04</c:v>
                </c:pt>
                <c:pt idx="83">
                  <c:v>0.04</c:v>
                </c:pt>
                <c:pt idx="84">
                  <c:v>0.04</c:v>
                </c:pt>
                <c:pt idx="85">
                  <c:v>0.04</c:v>
                </c:pt>
                <c:pt idx="86">
                  <c:v>0.042</c:v>
                </c:pt>
                <c:pt idx="87">
                  <c:v>0.041</c:v>
                </c:pt>
                <c:pt idx="88">
                  <c:v>0.042</c:v>
                </c:pt>
                <c:pt idx="89">
                  <c:v>0.042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Sheet2!$F$9:$F$10</c:f>
              <c:strCache>
                <c:ptCount val="1"/>
                <c:pt idx="0">
                  <c:v>5.5493 mmol/l Value</c:v>
                </c:pt>
              </c:strCache>
            </c:strRef>
          </c:tx>
          <c:spPr>
            <a:solidFill>
              <a:srgbClr val="9bbb5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Sheet2!$A$11:$A$100</c:f>
              <c:numCache>
                <c:formatCode>General</c:formatCode>
                <c:ptCount val="90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</c:numCache>
            </c:numRef>
          </c:xVal>
          <c:yVal>
            <c:numRef>
              <c:f>Sheet2!$F$11:$F$100</c:f>
              <c:numCache>
                <c:formatCode>General</c:formatCode>
                <c:ptCount val="90"/>
                <c:pt idx="0">
                  <c:v>0.004</c:v>
                </c:pt>
                <c:pt idx="1">
                  <c:v>0.004</c:v>
                </c:pt>
                <c:pt idx="2">
                  <c:v>0.004</c:v>
                </c:pt>
                <c:pt idx="3">
                  <c:v>0.005</c:v>
                </c:pt>
                <c:pt idx="4">
                  <c:v>0.005</c:v>
                </c:pt>
                <c:pt idx="5">
                  <c:v>0.005</c:v>
                </c:pt>
                <c:pt idx="6">
                  <c:v>0.005</c:v>
                </c:pt>
                <c:pt idx="7">
                  <c:v>0.006</c:v>
                </c:pt>
                <c:pt idx="8">
                  <c:v>0.005</c:v>
                </c:pt>
                <c:pt idx="9">
                  <c:v>0.006</c:v>
                </c:pt>
                <c:pt idx="10">
                  <c:v>0.007</c:v>
                </c:pt>
                <c:pt idx="11">
                  <c:v>0.007</c:v>
                </c:pt>
                <c:pt idx="12">
                  <c:v>0.007</c:v>
                </c:pt>
                <c:pt idx="13">
                  <c:v>0.007</c:v>
                </c:pt>
                <c:pt idx="14">
                  <c:v>0.008</c:v>
                </c:pt>
                <c:pt idx="15">
                  <c:v>0.008</c:v>
                </c:pt>
                <c:pt idx="16">
                  <c:v>0.008</c:v>
                </c:pt>
                <c:pt idx="17">
                  <c:v>0.008</c:v>
                </c:pt>
                <c:pt idx="18">
                  <c:v>0.008</c:v>
                </c:pt>
                <c:pt idx="19">
                  <c:v>0.009</c:v>
                </c:pt>
                <c:pt idx="20">
                  <c:v>0.008</c:v>
                </c:pt>
                <c:pt idx="21">
                  <c:v>0.009</c:v>
                </c:pt>
                <c:pt idx="22">
                  <c:v>0.009</c:v>
                </c:pt>
                <c:pt idx="23">
                  <c:v>0.009</c:v>
                </c:pt>
                <c:pt idx="24">
                  <c:v>0.009</c:v>
                </c:pt>
                <c:pt idx="25">
                  <c:v>0.009</c:v>
                </c:pt>
                <c:pt idx="26">
                  <c:v>0.01</c:v>
                </c:pt>
                <c:pt idx="27">
                  <c:v>0.01</c:v>
                </c:pt>
                <c:pt idx="28">
                  <c:v>0.009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0.011</c:v>
                </c:pt>
                <c:pt idx="36">
                  <c:v>0.011</c:v>
                </c:pt>
                <c:pt idx="37">
                  <c:v>0.01</c:v>
                </c:pt>
                <c:pt idx="38">
                  <c:v>0.011</c:v>
                </c:pt>
                <c:pt idx="39">
                  <c:v>0.011</c:v>
                </c:pt>
                <c:pt idx="40">
                  <c:v>0.011</c:v>
                </c:pt>
                <c:pt idx="41">
                  <c:v>0.011</c:v>
                </c:pt>
                <c:pt idx="42">
                  <c:v>0.012</c:v>
                </c:pt>
                <c:pt idx="43">
                  <c:v>0.011</c:v>
                </c:pt>
                <c:pt idx="44">
                  <c:v>0.012</c:v>
                </c:pt>
                <c:pt idx="45">
                  <c:v>0.011</c:v>
                </c:pt>
                <c:pt idx="46">
                  <c:v>0.012</c:v>
                </c:pt>
                <c:pt idx="47">
                  <c:v>0.011</c:v>
                </c:pt>
                <c:pt idx="48">
                  <c:v>0.012</c:v>
                </c:pt>
                <c:pt idx="49">
                  <c:v>0.011</c:v>
                </c:pt>
                <c:pt idx="50">
                  <c:v>0.012</c:v>
                </c:pt>
                <c:pt idx="51">
                  <c:v>0.012</c:v>
                </c:pt>
                <c:pt idx="52">
                  <c:v>0.012</c:v>
                </c:pt>
                <c:pt idx="53">
                  <c:v>0.012</c:v>
                </c:pt>
                <c:pt idx="54">
                  <c:v>0.013</c:v>
                </c:pt>
                <c:pt idx="55">
                  <c:v>0.013</c:v>
                </c:pt>
                <c:pt idx="56">
                  <c:v>0.012</c:v>
                </c:pt>
                <c:pt idx="57">
                  <c:v>0.012</c:v>
                </c:pt>
                <c:pt idx="58">
                  <c:v>0.013</c:v>
                </c:pt>
                <c:pt idx="59">
                  <c:v>0.014</c:v>
                </c:pt>
                <c:pt idx="60">
                  <c:v>0.012</c:v>
                </c:pt>
                <c:pt idx="61">
                  <c:v>0.013</c:v>
                </c:pt>
                <c:pt idx="62">
                  <c:v>0.013</c:v>
                </c:pt>
                <c:pt idx="63">
                  <c:v>0.013</c:v>
                </c:pt>
                <c:pt idx="64">
                  <c:v>0.014</c:v>
                </c:pt>
                <c:pt idx="65">
                  <c:v>0.013</c:v>
                </c:pt>
                <c:pt idx="66">
                  <c:v>0.013</c:v>
                </c:pt>
                <c:pt idx="67">
                  <c:v>0.014</c:v>
                </c:pt>
                <c:pt idx="68">
                  <c:v>0.014</c:v>
                </c:pt>
                <c:pt idx="69">
                  <c:v>0.014</c:v>
                </c:pt>
                <c:pt idx="70">
                  <c:v>0.014</c:v>
                </c:pt>
                <c:pt idx="71">
                  <c:v>0.014</c:v>
                </c:pt>
                <c:pt idx="72">
                  <c:v>0.015</c:v>
                </c:pt>
                <c:pt idx="73">
                  <c:v>0.015</c:v>
                </c:pt>
                <c:pt idx="74">
                  <c:v>0.014</c:v>
                </c:pt>
                <c:pt idx="75">
                  <c:v>0.014</c:v>
                </c:pt>
                <c:pt idx="76">
                  <c:v>0.015</c:v>
                </c:pt>
                <c:pt idx="77">
                  <c:v>0.014</c:v>
                </c:pt>
                <c:pt idx="78">
                  <c:v>0.015</c:v>
                </c:pt>
                <c:pt idx="79">
                  <c:v>0.015</c:v>
                </c:pt>
                <c:pt idx="80">
                  <c:v>0.015</c:v>
                </c:pt>
                <c:pt idx="81">
                  <c:v>0.015</c:v>
                </c:pt>
                <c:pt idx="82">
                  <c:v>0.016</c:v>
                </c:pt>
                <c:pt idx="83">
                  <c:v>0.015</c:v>
                </c:pt>
                <c:pt idx="84">
                  <c:v>0.016</c:v>
                </c:pt>
                <c:pt idx="85">
                  <c:v>0.015</c:v>
                </c:pt>
                <c:pt idx="86">
                  <c:v>0.016</c:v>
                </c:pt>
                <c:pt idx="87">
                  <c:v>0.016</c:v>
                </c:pt>
                <c:pt idx="88">
                  <c:v>0.016</c:v>
                </c:pt>
                <c:pt idx="89">
                  <c:v>0.015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Sheet2!$H$9:$H$10</c:f>
              <c:strCache>
                <c:ptCount val="1"/>
                <c:pt idx="0">
                  <c:v>7.3990 mmol/l Value</c:v>
                </c:pt>
              </c:strCache>
            </c:strRef>
          </c:tx>
          <c:spPr>
            <a:solidFill>
              <a:srgbClr val="8064a2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Sheet2!$A$11:$A$100</c:f>
              <c:numCache>
                <c:formatCode>General</c:formatCode>
                <c:ptCount val="90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</c:numCache>
            </c:numRef>
          </c:xVal>
          <c:yVal>
            <c:numRef>
              <c:f>Sheet2!$H$11:$H$100</c:f>
              <c:numCache>
                <c:formatCode>General</c:formatCode>
                <c:ptCount val="90"/>
                <c:pt idx="0">
                  <c:v>0.005</c:v>
                </c:pt>
                <c:pt idx="1">
                  <c:v>0.006</c:v>
                </c:pt>
                <c:pt idx="2">
                  <c:v>0.006</c:v>
                </c:pt>
                <c:pt idx="3">
                  <c:v>0.006</c:v>
                </c:pt>
                <c:pt idx="4">
                  <c:v>0.007</c:v>
                </c:pt>
                <c:pt idx="5">
                  <c:v>0.007</c:v>
                </c:pt>
                <c:pt idx="6">
                  <c:v>0.007</c:v>
                </c:pt>
                <c:pt idx="7">
                  <c:v>0.008</c:v>
                </c:pt>
                <c:pt idx="8">
                  <c:v>0.008</c:v>
                </c:pt>
                <c:pt idx="9">
                  <c:v>0.007</c:v>
                </c:pt>
                <c:pt idx="10">
                  <c:v>0.009</c:v>
                </c:pt>
                <c:pt idx="11">
                  <c:v>0.009</c:v>
                </c:pt>
                <c:pt idx="12">
                  <c:v>0.008</c:v>
                </c:pt>
                <c:pt idx="13">
                  <c:v>0.01</c:v>
                </c:pt>
                <c:pt idx="14">
                  <c:v>0.009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0.011</c:v>
                </c:pt>
                <c:pt idx="20">
                  <c:v>0.011</c:v>
                </c:pt>
                <c:pt idx="21">
                  <c:v>0.011</c:v>
                </c:pt>
                <c:pt idx="22">
                  <c:v>0.011</c:v>
                </c:pt>
                <c:pt idx="23">
                  <c:v>0.012</c:v>
                </c:pt>
                <c:pt idx="24">
                  <c:v>0.011</c:v>
                </c:pt>
                <c:pt idx="25">
                  <c:v>0.011</c:v>
                </c:pt>
                <c:pt idx="26">
                  <c:v>0.011</c:v>
                </c:pt>
                <c:pt idx="27">
                  <c:v>0.012</c:v>
                </c:pt>
                <c:pt idx="28">
                  <c:v>0.013</c:v>
                </c:pt>
                <c:pt idx="29">
                  <c:v>0.012</c:v>
                </c:pt>
                <c:pt idx="30">
                  <c:v>0.013</c:v>
                </c:pt>
                <c:pt idx="31">
                  <c:v>0.013</c:v>
                </c:pt>
                <c:pt idx="32">
                  <c:v>0.012</c:v>
                </c:pt>
                <c:pt idx="33">
                  <c:v>0.013</c:v>
                </c:pt>
                <c:pt idx="34">
                  <c:v>0.013</c:v>
                </c:pt>
                <c:pt idx="35">
                  <c:v>0.012</c:v>
                </c:pt>
                <c:pt idx="36">
                  <c:v>0.014</c:v>
                </c:pt>
                <c:pt idx="37">
                  <c:v>0.013</c:v>
                </c:pt>
                <c:pt idx="38">
                  <c:v>0.013</c:v>
                </c:pt>
                <c:pt idx="39">
                  <c:v>0.014</c:v>
                </c:pt>
                <c:pt idx="40">
                  <c:v>0.013</c:v>
                </c:pt>
                <c:pt idx="41">
                  <c:v>0.013</c:v>
                </c:pt>
                <c:pt idx="42">
                  <c:v>0.014</c:v>
                </c:pt>
                <c:pt idx="43">
                  <c:v>0.014</c:v>
                </c:pt>
                <c:pt idx="44">
                  <c:v>0.014</c:v>
                </c:pt>
                <c:pt idx="45">
                  <c:v>0.014</c:v>
                </c:pt>
                <c:pt idx="46">
                  <c:v>0.014</c:v>
                </c:pt>
                <c:pt idx="47">
                  <c:v>0.014</c:v>
                </c:pt>
                <c:pt idx="48">
                  <c:v>0.014</c:v>
                </c:pt>
                <c:pt idx="49">
                  <c:v>0.015</c:v>
                </c:pt>
                <c:pt idx="50">
                  <c:v>0.015</c:v>
                </c:pt>
                <c:pt idx="51">
                  <c:v>0.015</c:v>
                </c:pt>
                <c:pt idx="52">
                  <c:v>0.015</c:v>
                </c:pt>
                <c:pt idx="53">
                  <c:v>0.015</c:v>
                </c:pt>
                <c:pt idx="54">
                  <c:v>0.015</c:v>
                </c:pt>
                <c:pt idx="55">
                  <c:v>0.015</c:v>
                </c:pt>
                <c:pt idx="56">
                  <c:v>0.016</c:v>
                </c:pt>
                <c:pt idx="57">
                  <c:v>0.015</c:v>
                </c:pt>
                <c:pt idx="58">
                  <c:v>0.016</c:v>
                </c:pt>
                <c:pt idx="59">
                  <c:v>0.016</c:v>
                </c:pt>
                <c:pt idx="60">
                  <c:v>0.016</c:v>
                </c:pt>
                <c:pt idx="61">
                  <c:v>0.016</c:v>
                </c:pt>
                <c:pt idx="62">
                  <c:v>0.016</c:v>
                </c:pt>
                <c:pt idx="63">
                  <c:v>0.016</c:v>
                </c:pt>
                <c:pt idx="64">
                  <c:v>0.016</c:v>
                </c:pt>
                <c:pt idx="65">
                  <c:v>0.017</c:v>
                </c:pt>
                <c:pt idx="66">
                  <c:v>0.017</c:v>
                </c:pt>
                <c:pt idx="67">
                  <c:v>0.017</c:v>
                </c:pt>
                <c:pt idx="68">
                  <c:v>0.017</c:v>
                </c:pt>
                <c:pt idx="69">
                  <c:v>0.018</c:v>
                </c:pt>
                <c:pt idx="70">
                  <c:v>0.018</c:v>
                </c:pt>
                <c:pt idx="71">
                  <c:v>0.017</c:v>
                </c:pt>
                <c:pt idx="72">
                  <c:v>0.017</c:v>
                </c:pt>
                <c:pt idx="73">
                  <c:v>0.018</c:v>
                </c:pt>
                <c:pt idx="74">
                  <c:v>0.018</c:v>
                </c:pt>
                <c:pt idx="75">
                  <c:v>0.018</c:v>
                </c:pt>
                <c:pt idx="76">
                  <c:v>0.018</c:v>
                </c:pt>
                <c:pt idx="77">
                  <c:v>0.018</c:v>
                </c:pt>
                <c:pt idx="78">
                  <c:v>0.018</c:v>
                </c:pt>
                <c:pt idx="79">
                  <c:v>0.019</c:v>
                </c:pt>
                <c:pt idx="80">
                  <c:v>0.018</c:v>
                </c:pt>
                <c:pt idx="81">
                  <c:v>0.019</c:v>
                </c:pt>
                <c:pt idx="82">
                  <c:v>0.02</c:v>
                </c:pt>
                <c:pt idx="83">
                  <c:v>0.02</c:v>
                </c:pt>
                <c:pt idx="84">
                  <c:v>0.02</c:v>
                </c:pt>
                <c:pt idx="85">
                  <c:v>0.02</c:v>
                </c:pt>
                <c:pt idx="86">
                  <c:v>0.021</c:v>
                </c:pt>
                <c:pt idx="87">
                  <c:v>0.021</c:v>
                </c:pt>
                <c:pt idx="88">
                  <c:v>0.021</c:v>
                </c:pt>
                <c:pt idx="89">
                  <c:v>0.02</c:v>
                </c:pt>
              </c:numCache>
            </c:numRef>
          </c:yVal>
          <c:smooth val="1"/>
        </c:ser>
        <c:axId val="9144535"/>
        <c:axId val="8800048"/>
      </c:scatterChart>
      <c:valAx>
        <c:axId val="9144535"/>
        <c:scaling>
          <c:orientation val="minMax"/>
          <c:min val="-20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Substrate Conc./ss.sss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800048"/>
        <c:crosses val="autoZero"/>
        <c:crossBetween val="midCat"/>
      </c:valAx>
      <c:valAx>
        <c:axId val="8800048"/>
        <c:scaling>
          <c:orientation val="minMax"/>
          <c:min val="-0.005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14453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1.8498 mmol/l/Value, Substrate Conc./ss.sss, 3.6966 mmol/l/Value, Substrate Conc./ss.sss, 5.5493 mmol/l/Value…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Sheet2!$B$9:$B$10</c:f>
              <c:strCache>
                <c:ptCount val="1"/>
                <c:pt idx="0">
                  <c:v>1.8498 mmol/l Value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Sheet2!$A$11:$A$298</c:f>
              <c:numCache>
                <c:formatCode>General</c:formatCode>
                <c:ptCount val="28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</c:numCache>
            </c:numRef>
          </c:xVal>
          <c:yVal>
            <c:numRef>
              <c:f>Sheet2!$B$11:$B$298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</c:v>
                </c:pt>
                <c:pt idx="5">
                  <c:v>0</c:v>
                </c:pt>
                <c:pt idx="6">
                  <c:v>0.001</c:v>
                </c:pt>
                <c:pt idx="7">
                  <c:v>0.001</c:v>
                </c:pt>
                <c:pt idx="8">
                  <c:v>0.001</c:v>
                </c:pt>
                <c:pt idx="9">
                  <c:v>0.001</c:v>
                </c:pt>
                <c:pt idx="10">
                  <c:v>0.002</c:v>
                </c:pt>
                <c:pt idx="11">
                  <c:v>0.001</c:v>
                </c:pt>
                <c:pt idx="12">
                  <c:v>0.002</c:v>
                </c:pt>
                <c:pt idx="13">
                  <c:v>0.001</c:v>
                </c:pt>
                <c:pt idx="14">
                  <c:v>0.002</c:v>
                </c:pt>
                <c:pt idx="15">
                  <c:v>0.002</c:v>
                </c:pt>
                <c:pt idx="16">
                  <c:v>0.002</c:v>
                </c:pt>
                <c:pt idx="17">
                  <c:v>0.002</c:v>
                </c:pt>
                <c:pt idx="18">
                  <c:v>0.002</c:v>
                </c:pt>
                <c:pt idx="19">
                  <c:v>0.002</c:v>
                </c:pt>
                <c:pt idx="20">
                  <c:v>0.002</c:v>
                </c:pt>
                <c:pt idx="21">
                  <c:v>0.002</c:v>
                </c:pt>
                <c:pt idx="22">
                  <c:v>0.003</c:v>
                </c:pt>
                <c:pt idx="23">
                  <c:v>0.003</c:v>
                </c:pt>
                <c:pt idx="24">
                  <c:v>0.002</c:v>
                </c:pt>
                <c:pt idx="25">
                  <c:v>0.003</c:v>
                </c:pt>
                <c:pt idx="26">
                  <c:v>0.003</c:v>
                </c:pt>
                <c:pt idx="27">
                  <c:v>0.002</c:v>
                </c:pt>
                <c:pt idx="28">
                  <c:v>0.002</c:v>
                </c:pt>
                <c:pt idx="29">
                  <c:v>0.003</c:v>
                </c:pt>
                <c:pt idx="30">
                  <c:v>0.002</c:v>
                </c:pt>
                <c:pt idx="31">
                  <c:v>0.003</c:v>
                </c:pt>
                <c:pt idx="32">
                  <c:v>0.004</c:v>
                </c:pt>
                <c:pt idx="33">
                  <c:v>0.004</c:v>
                </c:pt>
                <c:pt idx="34">
                  <c:v>0.003</c:v>
                </c:pt>
                <c:pt idx="35">
                  <c:v>0.004</c:v>
                </c:pt>
                <c:pt idx="36">
                  <c:v>0.003</c:v>
                </c:pt>
                <c:pt idx="37">
                  <c:v>0.003</c:v>
                </c:pt>
                <c:pt idx="38">
                  <c:v>0.004</c:v>
                </c:pt>
                <c:pt idx="39">
                  <c:v>0.004</c:v>
                </c:pt>
                <c:pt idx="40">
                  <c:v>0.004</c:v>
                </c:pt>
                <c:pt idx="41">
                  <c:v>0.003</c:v>
                </c:pt>
                <c:pt idx="42">
                  <c:v>0.004</c:v>
                </c:pt>
                <c:pt idx="43">
                  <c:v>0.004</c:v>
                </c:pt>
                <c:pt idx="44">
                  <c:v>0.003</c:v>
                </c:pt>
                <c:pt idx="45">
                  <c:v>0.004</c:v>
                </c:pt>
                <c:pt idx="46">
                  <c:v>0.003</c:v>
                </c:pt>
                <c:pt idx="47">
                  <c:v>0.004</c:v>
                </c:pt>
                <c:pt idx="48">
                  <c:v>0.005</c:v>
                </c:pt>
                <c:pt idx="49">
                  <c:v>0.004</c:v>
                </c:pt>
                <c:pt idx="50">
                  <c:v>0.005</c:v>
                </c:pt>
                <c:pt idx="51">
                  <c:v>0.005</c:v>
                </c:pt>
                <c:pt idx="52">
                  <c:v>0.004</c:v>
                </c:pt>
                <c:pt idx="53">
                  <c:v>0.004</c:v>
                </c:pt>
                <c:pt idx="54">
                  <c:v>0.005</c:v>
                </c:pt>
                <c:pt idx="55">
                  <c:v>0.005</c:v>
                </c:pt>
                <c:pt idx="56">
                  <c:v>0.005</c:v>
                </c:pt>
                <c:pt idx="57">
                  <c:v>0.005</c:v>
                </c:pt>
                <c:pt idx="58">
                  <c:v>0.004</c:v>
                </c:pt>
                <c:pt idx="59">
                  <c:v>0.005</c:v>
                </c:pt>
                <c:pt idx="60">
                  <c:v>0.005</c:v>
                </c:pt>
                <c:pt idx="61">
                  <c:v>0.005</c:v>
                </c:pt>
                <c:pt idx="62">
                  <c:v>0.004</c:v>
                </c:pt>
                <c:pt idx="63">
                  <c:v>0.005</c:v>
                </c:pt>
                <c:pt idx="64">
                  <c:v>0.005</c:v>
                </c:pt>
                <c:pt idx="65">
                  <c:v>0.005</c:v>
                </c:pt>
                <c:pt idx="66">
                  <c:v>0.005</c:v>
                </c:pt>
                <c:pt idx="67">
                  <c:v>0.005</c:v>
                </c:pt>
                <c:pt idx="68">
                  <c:v>0.005</c:v>
                </c:pt>
                <c:pt idx="69">
                  <c:v>0.006</c:v>
                </c:pt>
                <c:pt idx="70">
                  <c:v>0.005</c:v>
                </c:pt>
                <c:pt idx="71">
                  <c:v>0.005</c:v>
                </c:pt>
                <c:pt idx="72">
                  <c:v>0.005</c:v>
                </c:pt>
                <c:pt idx="73">
                  <c:v>0.005</c:v>
                </c:pt>
                <c:pt idx="74">
                  <c:v>0.005</c:v>
                </c:pt>
                <c:pt idx="75">
                  <c:v>0.005</c:v>
                </c:pt>
                <c:pt idx="76">
                  <c:v>0.005</c:v>
                </c:pt>
                <c:pt idx="77">
                  <c:v>0.005</c:v>
                </c:pt>
                <c:pt idx="78">
                  <c:v>0.006</c:v>
                </c:pt>
                <c:pt idx="79">
                  <c:v>0.006</c:v>
                </c:pt>
                <c:pt idx="80">
                  <c:v>0.006</c:v>
                </c:pt>
                <c:pt idx="81">
                  <c:v>0.006</c:v>
                </c:pt>
                <c:pt idx="82">
                  <c:v>0.006</c:v>
                </c:pt>
                <c:pt idx="83">
                  <c:v>0.006</c:v>
                </c:pt>
                <c:pt idx="84">
                  <c:v>0.007</c:v>
                </c:pt>
                <c:pt idx="85">
                  <c:v>0.006</c:v>
                </c:pt>
                <c:pt idx="86">
                  <c:v>0.006</c:v>
                </c:pt>
                <c:pt idx="87">
                  <c:v>0.006</c:v>
                </c:pt>
                <c:pt idx="88">
                  <c:v>0.007</c:v>
                </c:pt>
                <c:pt idx="89">
                  <c:v>0.008</c:v>
                </c:pt>
                <c:pt idx="90">
                  <c:v>0.007</c:v>
                </c:pt>
                <c:pt idx="91">
                  <c:v>0.007</c:v>
                </c:pt>
                <c:pt idx="92">
                  <c:v>0.007</c:v>
                </c:pt>
                <c:pt idx="93">
                  <c:v>0.007</c:v>
                </c:pt>
                <c:pt idx="94">
                  <c:v>0.007</c:v>
                </c:pt>
                <c:pt idx="95">
                  <c:v>0.008</c:v>
                </c:pt>
                <c:pt idx="96">
                  <c:v>0.007</c:v>
                </c:pt>
                <c:pt idx="97">
                  <c:v>0.007</c:v>
                </c:pt>
                <c:pt idx="98">
                  <c:v>0.007</c:v>
                </c:pt>
                <c:pt idx="99">
                  <c:v>0.007</c:v>
                </c:pt>
                <c:pt idx="100">
                  <c:v>0.007</c:v>
                </c:pt>
                <c:pt idx="101">
                  <c:v>0.008</c:v>
                </c:pt>
                <c:pt idx="102">
                  <c:v>0.008</c:v>
                </c:pt>
                <c:pt idx="103">
                  <c:v>0.008</c:v>
                </c:pt>
                <c:pt idx="104">
                  <c:v>0.008</c:v>
                </c:pt>
                <c:pt idx="105">
                  <c:v>0.007</c:v>
                </c:pt>
                <c:pt idx="106">
                  <c:v>0.007</c:v>
                </c:pt>
                <c:pt idx="107">
                  <c:v>0.008</c:v>
                </c:pt>
                <c:pt idx="108">
                  <c:v>0.007</c:v>
                </c:pt>
                <c:pt idx="109">
                  <c:v>0.008</c:v>
                </c:pt>
                <c:pt idx="110">
                  <c:v>0.008</c:v>
                </c:pt>
                <c:pt idx="111">
                  <c:v>0.008</c:v>
                </c:pt>
                <c:pt idx="112">
                  <c:v>0.007</c:v>
                </c:pt>
                <c:pt idx="113">
                  <c:v>0.009</c:v>
                </c:pt>
                <c:pt idx="114">
                  <c:v>0.008</c:v>
                </c:pt>
                <c:pt idx="115">
                  <c:v>0.008</c:v>
                </c:pt>
                <c:pt idx="116">
                  <c:v>0.008</c:v>
                </c:pt>
                <c:pt idx="117">
                  <c:v>0.009</c:v>
                </c:pt>
                <c:pt idx="118">
                  <c:v>0.009</c:v>
                </c:pt>
                <c:pt idx="119">
                  <c:v>0.008</c:v>
                </c:pt>
                <c:pt idx="120">
                  <c:v>0.009</c:v>
                </c:pt>
                <c:pt idx="121">
                  <c:v>0.009</c:v>
                </c:pt>
                <c:pt idx="122">
                  <c:v>0.009</c:v>
                </c:pt>
                <c:pt idx="123">
                  <c:v>0.009</c:v>
                </c:pt>
                <c:pt idx="124">
                  <c:v>0.009</c:v>
                </c:pt>
                <c:pt idx="125">
                  <c:v>0.009</c:v>
                </c:pt>
                <c:pt idx="126">
                  <c:v>0.009</c:v>
                </c:pt>
                <c:pt idx="127">
                  <c:v>0.009</c:v>
                </c:pt>
                <c:pt idx="128">
                  <c:v>0.009</c:v>
                </c:pt>
                <c:pt idx="129">
                  <c:v>0.009</c:v>
                </c:pt>
                <c:pt idx="130">
                  <c:v>0.009</c:v>
                </c:pt>
                <c:pt idx="131">
                  <c:v>0.01</c:v>
                </c:pt>
                <c:pt idx="132">
                  <c:v>0.009</c:v>
                </c:pt>
                <c:pt idx="133">
                  <c:v>0.01</c:v>
                </c:pt>
                <c:pt idx="134">
                  <c:v>0.01</c:v>
                </c:pt>
                <c:pt idx="135">
                  <c:v>0.009</c:v>
                </c:pt>
                <c:pt idx="136">
                  <c:v>0.01</c:v>
                </c:pt>
                <c:pt idx="137">
                  <c:v>0.01</c:v>
                </c:pt>
                <c:pt idx="138">
                  <c:v>0.01</c:v>
                </c:pt>
                <c:pt idx="139">
                  <c:v>0.011</c:v>
                </c:pt>
                <c:pt idx="140">
                  <c:v>0.01</c:v>
                </c:pt>
                <c:pt idx="141">
                  <c:v>0.011</c:v>
                </c:pt>
                <c:pt idx="142">
                  <c:v>0.01</c:v>
                </c:pt>
                <c:pt idx="143">
                  <c:v>0.011</c:v>
                </c:pt>
                <c:pt idx="144">
                  <c:v>0.01</c:v>
                </c:pt>
                <c:pt idx="145">
                  <c:v>0.01</c:v>
                </c:pt>
                <c:pt idx="146">
                  <c:v>0.011</c:v>
                </c:pt>
                <c:pt idx="147">
                  <c:v>0.01</c:v>
                </c:pt>
                <c:pt idx="148">
                  <c:v>0.011</c:v>
                </c:pt>
                <c:pt idx="149">
                  <c:v>0.011</c:v>
                </c:pt>
                <c:pt idx="150">
                  <c:v>0.011</c:v>
                </c:pt>
                <c:pt idx="151">
                  <c:v>0.011</c:v>
                </c:pt>
                <c:pt idx="152">
                  <c:v>0.011</c:v>
                </c:pt>
                <c:pt idx="153">
                  <c:v>0.011</c:v>
                </c:pt>
                <c:pt idx="154">
                  <c:v>0.011</c:v>
                </c:pt>
                <c:pt idx="155">
                  <c:v>0.012</c:v>
                </c:pt>
                <c:pt idx="156">
                  <c:v>0.01</c:v>
                </c:pt>
                <c:pt idx="157">
                  <c:v>0.011</c:v>
                </c:pt>
                <c:pt idx="158">
                  <c:v>0.011</c:v>
                </c:pt>
                <c:pt idx="159">
                  <c:v>0.011</c:v>
                </c:pt>
                <c:pt idx="160">
                  <c:v>0.011</c:v>
                </c:pt>
                <c:pt idx="161">
                  <c:v>0.011</c:v>
                </c:pt>
                <c:pt idx="162">
                  <c:v>0.01</c:v>
                </c:pt>
                <c:pt idx="163">
                  <c:v>0.012</c:v>
                </c:pt>
                <c:pt idx="164">
                  <c:v>0.012</c:v>
                </c:pt>
                <c:pt idx="165">
                  <c:v>0.012</c:v>
                </c:pt>
                <c:pt idx="166">
                  <c:v>0.012</c:v>
                </c:pt>
                <c:pt idx="167">
                  <c:v>0.012</c:v>
                </c:pt>
                <c:pt idx="168">
                  <c:v>0.012</c:v>
                </c:pt>
                <c:pt idx="169">
                  <c:v>0.012</c:v>
                </c:pt>
                <c:pt idx="170">
                  <c:v>0.012</c:v>
                </c:pt>
                <c:pt idx="171">
                  <c:v>0.012</c:v>
                </c:pt>
                <c:pt idx="172">
                  <c:v>0.012</c:v>
                </c:pt>
                <c:pt idx="173">
                  <c:v>0.012</c:v>
                </c:pt>
                <c:pt idx="174">
                  <c:v>0.013</c:v>
                </c:pt>
                <c:pt idx="175">
                  <c:v>0.013</c:v>
                </c:pt>
                <c:pt idx="176">
                  <c:v>0.013</c:v>
                </c:pt>
                <c:pt idx="177">
                  <c:v>0.013</c:v>
                </c:pt>
                <c:pt idx="178">
                  <c:v>0.013</c:v>
                </c:pt>
                <c:pt idx="179">
                  <c:v>0.013</c:v>
                </c:pt>
                <c:pt idx="180">
                  <c:v>0.013</c:v>
                </c:pt>
                <c:pt idx="181">
                  <c:v>0.013</c:v>
                </c:pt>
                <c:pt idx="182">
                  <c:v>0.012</c:v>
                </c:pt>
                <c:pt idx="183">
                  <c:v>0.013</c:v>
                </c:pt>
                <c:pt idx="184">
                  <c:v>0.013</c:v>
                </c:pt>
                <c:pt idx="185">
                  <c:v>0.014</c:v>
                </c:pt>
                <c:pt idx="186">
                  <c:v>0.013</c:v>
                </c:pt>
                <c:pt idx="187">
                  <c:v>0.013</c:v>
                </c:pt>
                <c:pt idx="188">
                  <c:v>0.013</c:v>
                </c:pt>
                <c:pt idx="189">
                  <c:v>0.014</c:v>
                </c:pt>
                <c:pt idx="190">
                  <c:v>0.014</c:v>
                </c:pt>
                <c:pt idx="191">
                  <c:v>0.014</c:v>
                </c:pt>
                <c:pt idx="192">
                  <c:v>0.014</c:v>
                </c:pt>
                <c:pt idx="193">
                  <c:v>0.014</c:v>
                </c:pt>
                <c:pt idx="194">
                  <c:v>0.014</c:v>
                </c:pt>
                <c:pt idx="195">
                  <c:v>0.014</c:v>
                </c:pt>
                <c:pt idx="196">
                  <c:v>0.014</c:v>
                </c:pt>
                <c:pt idx="197">
                  <c:v>0.014</c:v>
                </c:pt>
                <c:pt idx="198">
                  <c:v>0.015</c:v>
                </c:pt>
                <c:pt idx="199">
                  <c:v>0.015</c:v>
                </c:pt>
                <c:pt idx="200">
                  <c:v>0.015</c:v>
                </c:pt>
                <c:pt idx="201">
                  <c:v>0.016</c:v>
                </c:pt>
                <c:pt idx="202">
                  <c:v>0.015</c:v>
                </c:pt>
                <c:pt idx="203">
                  <c:v>0.015</c:v>
                </c:pt>
                <c:pt idx="204">
                  <c:v>0.015</c:v>
                </c:pt>
                <c:pt idx="205">
                  <c:v>0.015</c:v>
                </c:pt>
                <c:pt idx="206">
                  <c:v>0.014</c:v>
                </c:pt>
                <c:pt idx="207">
                  <c:v>0.015</c:v>
                </c:pt>
                <c:pt idx="208">
                  <c:v>0.016</c:v>
                </c:pt>
                <c:pt idx="209">
                  <c:v>0.014</c:v>
                </c:pt>
                <c:pt idx="210">
                  <c:v>0.016</c:v>
                </c:pt>
                <c:pt idx="211">
                  <c:v>0.015</c:v>
                </c:pt>
                <c:pt idx="212">
                  <c:v>0.015</c:v>
                </c:pt>
                <c:pt idx="213">
                  <c:v>0.015</c:v>
                </c:pt>
                <c:pt idx="214">
                  <c:v>0.015</c:v>
                </c:pt>
                <c:pt idx="215">
                  <c:v>0.016</c:v>
                </c:pt>
                <c:pt idx="216">
                  <c:v>0.016</c:v>
                </c:pt>
                <c:pt idx="217">
                  <c:v>0.016</c:v>
                </c:pt>
                <c:pt idx="218">
                  <c:v>0.016</c:v>
                </c:pt>
                <c:pt idx="219">
                  <c:v>0.016</c:v>
                </c:pt>
                <c:pt idx="220">
                  <c:v>0.016</c:v>
                </c:pt>
                <c:pt idx="221">
                  <c:v>0.016</c:v>
                </c:pt>
                <c:pt idx="222">
                  <c:v>0.016</c:v>
                </c:pt>
                <c:pt idx="223">
                  <c:v>0.016</c:v>
                </c:pt>
                <c:pt idx="224">
                  <c:v>0.016</c:v>
                </c:pt>
                <c:pt idx="225">
                  <c:v>0.017</c:v>
                </c:pt>
                <c:pt idx="226">
                  <c:v>0.017</c:v>
                </c:pt>
                <c:pt idx="227">
                  <c:v>0.017</c:v>
                </c:pt>
                <c:pt idx="228">
                  <c:v>0.017</c:v>
                </c:pt>
                <c:pt idx="229">
                  <c:v>0.017</c:v>
                </c:pt>
                <c:pt idx="230">
                  <c:v>0.016</c:v>
                </c:pt>
                <c:pt idx="231">
                  <c:v>0.017</c:v>
                </c:pt>
                <c:pt idx="232">
                  <c:v>0.016</c:v>
                </c:pt>
                <c:pt idx="233">
                  <c:v>0.017</c:v>
                </c:pt>
                <c:pt idx="234">
                  <c:v>0.017</c:v>
                </c:pt>
                <c:pt idx="235">
                  <c:v>0.016</c:v>
                </c:pt>
                <c:pt idx="236">
                  <c:v>0.017</c:v>
                </c:pt>
                <c:pt idx="237">
                  <c:v>0.016</c:v>
                </c:pt>
                <c:pt idx="238">
                  <c:v>0.017</c:v>
                </c:pt>
                <c:pt idx="239">
                  <c:v>0.017</c:v>
                </c:pt>
                <c:pt idx="240">
                  <c:v>0.018</c:v>
                </c:pt>
                <c:pt idx="241">
                  <c:v>0.018</c:v>
                </c:pt>
                <c:pt idx="242">
                  <c:v>0.017</c:v>
                </c:pt>
                <c:pt idx="243">
                  <c:v>0.017</c:v>
                </c:pt>
                <c:pt idx="244">
                  <c:v>0.017</c:v>
                </c:pt>
                <c:pt idx="245">
                  <c:v>0.017</c:v>
                </c:pt>
                <c:pt idx="246">
                  <c:v>0.018</c:v>
                </c:pt>
                <c:pt idx="247">
                  <c:v>0.018</c:v>
                </c:pt>
                <c:pt idx="248">
                  <c:v>0.018</c:v>
                </c:pt>
                <c:pt idx="249">
                  <c:v>0.018</c:v>
                </c:pt>
                <c:pt idx="250">
                  <c:v>0.018</c:v>
                </c:pt>
                <c:pt idx="251">
                  <c:v>0.019</c:v>
                </c:pt>
                <c:pt idx="252">
                  <c:v>0.018</c:v>
                </c:pt>
                <c:pt idx="253">
                  <c:v>0.018</c:v>
                </c:pt>
                <c:pt idx="254">
                  <c:v>0.018</c:v>
                </c:pt>
                <c:pt idx="255">
                  <c:v>0.018</c:v>
                </c:pt>
                <c:pt idx="256">
                  <c:v>0.018</c:v>
                </c:pt>
                <c:pt idx="257">
                  <c:v>0.018</c:v>
                </c:pt>
                <c:pt idx="258">
                  <c:v>0.018</c:v>
                </c:pt>
                <c:pt idx="259">
                  <c:v>0.019</c:v>
                </c:pt>
                <c:pt idx="260">
                  <c:v>0.019</c:v>
                </c:pt>
                <c:pt idx="261">
                  <c:v>0.019</c:v>
                </c:pt>
                <c:pt idx="262">
                  <c:v>0.019</c:v>
                </c:pt>
                <c:pt idx="263">
                  <c:v>0.019</c:v>
                </c:pt>
                <c:pt idx="264">
                  <c:v>0.02</c:v>
                </c:pt>
                <c:pt idx="265">
                  <c:v>0.019</c:v>
                </c:pt>
                <c:pt idx="266">
                  <c:v>0.019</c:v>
                </c:pt>
                <c:pt idx="267">
                  <c:v>0.019</c:v>
                </c:pt>
                <c:pt idx="268">
                  <c:v>0.019</c:v>
                </c:pt>
                <c:pt idx="269">
                  <c:v>0.019</c:v>
                </c:pt>
                <c:pt idx="270">
                  <c:v>0.02</c:v>
                </c:pt>
                <c:pt idx="271">
                  <c:v>0.02</c:v>
                </c:pt>
                <c:pt idx="272">
                  <c:v>0.02</c:v>
                </c:pt>
                <c:pt idx="273">
                  <c:v>0.02</c:v>
                </c:pt>
                <c:pt idx="274">
                  <c:v>0.02</c:v>
                </c:pt>
                <c:pt idx="275">
                  <c:v>0.019</c:v>
                </c:pt>
                <c:pt idx="276">
                  <c:v>0.021</c:v>
                </c:pt>
                <c:pt idx="277">
                  <c:v>0.021</c:v>
                </c:pt>
                <c:pt idx="278">
                  <c:v>0.02</c:v>
                </c:pt>
                <c:pt idx="279">
                  <c:v>0.02</c:v>
                </c:pt>
                <c:pt idx="280">
                  <c:v>0.021</c:v>
                </c:pt>
                <c:pt idx="281">
                  <c:v>0.021</c:v>
                </c:pt>
                <c:pt idx="282">
                  <c:v>0.021</c:v>
                </c:pt>
                <c:pt idx="283">
                  <c:v>0.02</c:v>
                </c:pt>
                <c:pt idx="284">
                  <c:v>0.02</c:v>
                </c:pt>
                <c:pt idx="285">
                  <c:v>0.021</c:v>
                </c:pt>
                <c:pt idx="286">
                  <c:v>0.02</c:v>
                </c:pt>
                <c:pt idx="287">
                  <c:v>0.021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Sheet2!$D$9:$D$10</c:f>
              <c:strCache>
                <c:ptCount val="1"/>
                <c:pt idx="0">
                  <c:v>3.6966 mmol/l Value</c:v>
                </c:pt>
              </c:strCache>
            </c:strRef>
          </c:tx>
          <c:spPr>
            <a:solidFill>
              <a:srgbClr val="c0504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Sheet2!$A$11:$A$298</c:f>
              <c:numCache>
                <c:formatCode>General</c:formatCode>
                <c:ptCount val="28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</c:numCache>
            </c:numRef>
          </c:xVal>
          <c:yVal>
            <c:numRef>
              <c:f>Sheet2!$D$11:$D$298</c:f>
              <c:numCache>
                <c:formatCode>General</c:formatCode>
                <c:ptCount val="288"/>
                <c:pt idx="0">
                  <c:v>0.006</c:v>
                </c:pt>
                <c:pt idx="1">
                  <c:v>0.006</c:v>
                </c:pt>
                <c:pt idx="2">
                  <c:v>0.007</c:v>
                </c:pt>
                <c:pt idx="3">
                  <c:v>0.008</c:v>
                </c:pt>
                <c:pt idx="4">
                  <c:v>0.008</c:v>
                </c:pt>
                <c:pt idx="5">
                  <c:v>0.009</c:v>
                </c:pt>
                <c:pt idx="6">
                  <c:v>0.008</c:v>
                </c:pt>
                <c:pt idx="7">
                  <c:v>0.009</c:v>
                </c:pt>
                <c:pt idx="8">
                  <c:v>0.009</c:v>
                </c:pt>
                <c:pt idx="9">
                  <c:v>0.01</c:v>
                </c:pt>
                <c:pt idx="10">
                  <c:v>0.01</c:v>
                </c:pt>
                <c:pt idx="11">
                  <c:v>0.011</c:v>
                </c:pt>
                <c:pt idx="12">
                  <c:v>0.011</c:v>
                </c:pt>
                <c:pt idx="13">
                  <c:v>0.012</c:v>
                </c:pt>
                <c:pt idx="14">
                  <c:v>0.012</c:v>
                </c:pt>
                <c:pt idx="15">
                  <c:v>0.013</c:v>
                </c:pt>
                <c:pt idx="16">
                  <c:v>0.013</c:v>
                </c:pt>
                <c:pt idx="17">
                  <c:v>0.013</c:v>
                </c:pt>
                <c:pt idx="18">
                  <c:v>0.014</c:v>
                </c:pt>
                <c:pt idx="19">
                  <c:v>0.014</c:v>
                </c:pt>
                <c:pt idx="20">
                  <c:v>0.015</c:v>
                </c:pt>
                <c:pt idx="21">
                  <c:v>0.015</c:v>
                </c:pt>
                <c:pt idx="22">
                  <c:v>0.016</c:v>
                </c:pt>
                <c:pt idx="23">
                  <c:v>0.016</c:v>
                </c:pt>
                <c:pt idx="24">
                  <c:v>0.017</c:v>
                </c:pt>
                <c:pt idx="25">
                  <c:v>0.016</c:v>
                </c:pt>
                <c:pt idx="26">
                  <c:v>0.018</c:v>
                </c:pt>
                <c:pt idx="27">
                  <c:v>0.017</c:v>
                </c:pt>
                <c:pt idx="28">
                  <c:v>0.018</c:v>
                </c:pt>
                <c:pt idx="29">
                  <c:v>0.019</c:v>
                </c:pt>
                <c:pt idx="30">
                  <c:v>0.019</c:v>
                </c:pt>
                <c:pt idx="31">
                  <c:v>0.019</c:v>
                </c:pt>
                <c:pt idx="32">
                  <c:v>0.019</c:v>
                </c:pt>
                <c:pt idx="33">
                  <c:v>0.02</c:v>
                </c:pt>
                <c:pt idx="34">
                  <c:v>0.021</c:v>
                </c:pt>
                <c:pt idx="35">
                  <c:v>0.02</c:v>
                </c:pt>
                <c:pt idx="36">
                  <c:v>0.021</c:v>
                </c:pt>
                <c:pt idx="37">
                  <c:v>0.021</c:v>
                </c:pt>
                <c:pt idx="38">
                  <c:v>0.022</c:v>
                </c:pt>
                <c:pt idx="39">
                  <c:v>0.022</c:v>
                </c:pt>
                <c:pt idx="40">
                  <c:v>0.023</c:v>
                </c:pt>
                <c:pt idx="41">
                  <c:v>0.023</c:v>
                </c:pt>
                <c:pt idx="42">
                  <c:v>0.024</c:v>
                </c:pt>
                <c:pt idx="43">
                  <c:v>0.024</c:v>
                </c:pt>
                <c:pt idx="44">
                  <c:v>0.025</c:v>
                </c:pt>
                <c:pt idx="45">
                  <c:v>0.025</c:v>
                </c:pt>
                <c:pt idx="46">
                  <c:v>0.026</c:v>
                </c:pt>
                <c:pt idx="47">
                  <c:v>0.026</c:v>
                </c:pt>
                <c:pt idx="48">
                  <c:v>0.026</c:v>
                </c:pt>
                <c:pt idx="49">
                  <c:v>0.027</c:v>
                </c:pt>
                <c:pt idx="50">
                  <c:v>0.027</c:v>
                </c:pt>
                <c:pt idx="51">
                  <c:v>0.028</c:v>
                </c:pt>
                <c:pt idx="52">
                  <c:v>0.028</c:v>
                </c:pt>
                <c:pt idx="53">
                  <c:v>0.028</c:v>
                </c:pt>
                <c:pt idx="54">
                  <c:v>0.029</c:v>
                </c:pt>
                <c:pt idx="55">
                  <c:v>0.029</c:v>
                </c:pt>
                <c:pt idx="56">
                  <c:v>0.03</c:v>
                </c:pt>
                <c:pt idx="57">
                  <c:v>0.03</c:v>
                </c:pt>
                <c:pt idx="58">
                  <c:v>0.03</c:v>
                </c:pt>
                <c:pt idx="59">
                  <c:v>0.03</c:v>
                </c:pt>
                <c:pt idx="60">
                  <c:v>0.031</c:v>
                </c:pt>
                <c:pt idx="61">
                  <c:v>0.031</c:v>
                </c:pt>
                <c:pt idx="62">
                  <c:v>0.032</c:v>
                </c:pt>
                <c:pt idx="63">
                  <c:v>0.033</c:v>
                </c:pt>
                <c:pt idx="64">
                  <c:v>0.033</c:v>
                </c:pt>
                <c:pt idx="65">
                  <c:v>0.033</c:v>
                </c:pt>
                <c:pt idx="66">
                  <c:v>0.034</c:v>
                </c:pt>
                <c:pt idx="67">
                  <c:v>0.034</c:v>
                </c:pt>
                <c:pt idx="68">
                  <c:v>0.035</c:v>
                </c:pt>
                <c:pt idx="69">
                  <c:v>0.034</c:v>
                </c:pt>
                <c:pt idx="70">
                  <c:v>0.034</c:v>
                </c:pt>
                <c:pt idx="71">
                  <c:v>0.035</c:v>
                </c:pt>
                <c:pt idx="72">
                  <c:v>0.036</c:v>
                </c:pt>
                <c:pt idx="73">
                  <c:v>0.036</c:v>
                </c:pt>
                <c:pt idx="74">
                  <c:v>0.037</c:v>
                </c:pt>
                <c:pt idx="75">
                  <c:v>0.037</c:v>
                </c:pt>
                <c:pt idx="76">
                  <c:v>0.037</c:v>
                </c:pt>
                <c:pt idx="77">
                  <c:v>0.038</c:v>
                </c:pt>
                <c:pt idx="78">
                  <c:v>0.038</c:v>
                </c:pt>
                <c:pt idx="79">
                  <c:v>0.039</c:v>
                </c:pt>
                <c:pt idx="80">
                  <c:v>0.039</c:v>
                </c:pt>
                <c:pt idx="81">
                  <c:v>0.038</c:v>
                </c:pt>
                <c:pt idx="82">
                  <c:v>0.04</c:v>
                </c:pt>
                <c:pt idx="83">
                  <c:v>0.04</c:v>
                </c:pt>
                <c:pt idx="84">
                  <c:v>0.04</c:v>
                </c:pt>
                <c:pt idx="85">
                  <c:v>0.04</c:v>
                </c:pt>
                <c:pt idx="86">
                  <c:v>0.042</c:v>
                </c:pt>
                <c:pt idx="87">
                  <c:v>0.041</c:v>
                </c:pt>
                <c:pt idx="88">
                  <c:v>0.042</c:v>
                </c:pt>
                <c:pt idx="89">
                  <c:v>0.042</c:v>
                </c:pt>
                <c:pt idx="90">
                  <c:v>0.042</c:v>
                </c:pt>
                <c:pt idx="91">
                  <c:v>0.043</c:v>
                </c:pt>
                <c:pt idx="92">
                  <c:v>0.044</c:v>
                </c:pt>
                <c:pt idx="93">
                  <c:v>0.043</c:v>
                </c:pt>
                <c:pt idx="94">
                  <c:v>0.044</c:v>
                </c:pt>
                <c:pt idx="95">
                  <c:v>0.045</c:v>
                </c:pt>
                <c:pt idx="96">
                  <c:v>0.045</c:v>
                </c:pt>
                <c:pt idx="97">
                  <c:v>0.046</c:v>
                </c:pt>
                <c:pt idx="98">
                  <c:v>0.045</c:v>
                </c:pt>
                <c:pt idx="99">
                  <c:v>0.045</c:v>
                </c:pt>
                <c:pt idx="100">
                  <c:v>0.047</c:v>
                </c:pt>
                <c:pt idx="101">
                  <c:v>0.047</c:v>
                </c:pt>
                <c:pt idx="102">
                  <c:v>0.048</c:v>
                </c:pt>
                <c:pt idx="103">
                  <c:v>0.048</c:v>
                </c:pt>
                <c:pt idx="104">
                  <c:v>0.048</c:v>
                </c:pt>
                <c:pt idx="105">
                  <c:v>0.048</c:v>
                </c:pt>
                <c:pt idx="106">
                  <c:v>0.049</c:v>
                </c:pt>
                <c:pt idx="107">
                  <c:v>0.05</c:v>
                </c:pt>
                <c:pt idx="108">
                  <c:v>0.05</c:v>
                </c:pt>
                <c:pt idx="109">
                  <c:v>0.049</c:v>
                </c:pt>
                <c:pt idx="110">
                  <c:v>0.05</c:v>
                </c:pt>
                <c:pt idx="111">
                  <c:v>0.051</c:v>
                </c:pt>
                <c:pt idx="112">
                  <c:v>0.051</c:v>
                </c:pt>
                <c:pt idx="113">
                  <c:v>0.051</c:v>
                </c:pt>
                <c:pt idx="114">
                  <c:v>0.052</c:v>
                </c:pt>
                <c:pt idx="115">
                  <c:v>0.052</c:v>
                </c:pt>
                <c:pt idx="116">
                  <c:v>0.053</c:v>
                </c:pt>
                <c:pt idx="117">
                  <c:v>0.053</c:v>
                </c:pt>
                <c:pt idx="118">
                  <c:v>0.053</c:v>
                </c:pt>
                <c:pt idx="119">
                  <c:v>0.054</c:v>
                </c:pt>
                <c:pt idx="120">
                  <c:v>0.054</c:v>
                </c:pt>
                <c:pt idx="121">
                  <c:v>0.055</c:v>
                </c:pt>
                <c:pt idx="122">
                  <c:v>0.054</c:v>
                </c:pt>
                <c:pt idx="123">
                  <c:v>0.055</c:v>
                </c:pt>
                <c:pt idx="124">
                  <c:v>0.055</c:v>
                </c:pt>
                <c:pt idx="125">
                  <c:v>0.056</c:v>
                </c:pt>
                <c:pt idx="126">
                  <c:v>0.056</c:v>
                </c:pt>
                <c:pt idx="127">
                  <c:v>0.057</c:v>
                </c:pt>
                <c:pt idx="128">
                  <c:v>0.057</c:v>
                </c:pt>
                <c:pt idx="129">
                  <c:v>0.058</c:v>
                </c:pt>
                <c:pt idx="130">
                  <c:v>0.058</c:v>
                </c:pt>
                <c:pt idx="131">
                  <c:v>0.058</c:v>
                </c:pt>
                <c:pt idx="132">
                  <c:v>0.058</c:v>
                </c:pt>
                <c:pt idx="133">
                  <c:v>0.059</c:v>
                </c:pt>
                <c:pt idx="134">
                  <c:v>0.059</c:v>
                </c:pt>
                <c:pt idx="135">
                  <c:v>0.059</c:v>
                </c:pt>
                <c:pt idx="136">
                  <c:v>0.06</c:v>
                </c:pt>
                <c:pt idx="137">
                  <c:v>0.06</c:v>
                </c:pt>
                <c:pt idx="138">
                  <c:v>0.06</c:v>
                </c:pt>
                <c:pt idx="139">
                  <c:v>0.061</c:v>
                </c:pt>
                <c:pt idx="140">
                  <c:v>0.061</c:v>
                </c:pt>
                <c:pt idx="141">
                  <c:v>0.062</c:v>
                </c:pt>
                <c:pt idx="142">
                  <c:v>0.063</c:v>
                </c:pt>
                <c:pt idx="143">
                  <c:v>0.063</c:v>
                </c:pt>
                <c:pt idx="144">
                  <c:v>0.063</c:v>
                </c:pt>
                <c:pt idx="145">
                  <c:v>0.063</c:v>
                </c:pt>
                <c:pt idx="146">
                  <c:v>0.064</c:v>
                </c:pt>
                <c:pt idx="147">
                  <c:v>0.064</c:v>
                </c:pt>
                <c:pt idx="148">
                  <c:v>0.064</c:v>
                </c:pt>
                <c:pt idx="149">
                  <c:v>0.065</c:v>
                </c:pt>
                <c:pt idx="150">
                  <c:v>0.066</c:v>
                </c:pt>
                <c:pt idx="151">
                  <c:v>0.065</c:v>
                </c:pt>
                <c:pt idx="152">
                  <c:v>0.066</c:v>
                </c:pt>
                <c:pt idx="153">
                  <c:v>0.066</c:v>
                </c:pt>
                <c:pt idx="154">
                  <c:v>0.067</c:v>
                </c:pt>
                <c:pt idx="155">
                  <c:v>0.067</c:v>
                </c:pt>
                <c:pt idx="156">
                  <c:v>0.067</c:v>
                </c:pt>
                <c:pt idx="157">
                  <c:v>0.068</c:v>
                </c:pt>
                <c:pt idx="158">
                  <c:v>0.068</c:v>
                </c:pt>
                <c:pt idx="159">
                  <c:v>0.068</c:v>
                </c:pt>
                <c:pt idx="160">
                  <c:v>0.068</c:v>
                </c:pt>
                <c:pt idx="161">
                  <c:v>0.069</c:v>
                </c:pt>
                <c:pt idx="162">
                  <c:v>0.069</c:v>
                </c:pt>
                <c:pt idx="163">
                  <c:v>0.07</c:v>
                </c:pt>
                <c:pt idx="164">
                  <c:v>0.07</c:v>
                </c:pt>
                <c:pt idx="165">
                  <c:v>0.07</c:v>
                </c:pt>
                <c:pt idx="166">
                  <c:v>0.071</c:v>
                </c:pt>
                <c:pt idx="167">
                  <c:v>0.072</c:v>
                </c:pt>
                <c:pt idx="168">
                  <c:v>0.071</c:v>
                </c:pt>
                <c:pt idx="169">
                  <c:v>0.071</c:v>
                </c:pt>
                <c:pt idx="170">
                  <c:v>0.072</c:v>
                </c:pt>
                <c:pt idx="171">
                  <c:v>0.073</c:v>
                </c:pt>
                <c:pt idx="172">
                  <c:v>0.073</c:v>
                </c:pt>
                <c:pt idx="173">
                  <c:v>0.073</c:v>
                </c:pt>
                <c:pt idx="174">
                  <c:v>0.074</c:v>
                </c:pt>
                <c:pt idx="175">
                  <c:v>0.074</c:v>
                </c:pt>
                <c:pt idx="176">
                  <c:v>0.074</c:v>
                </c:pt>
                <c:pt idx="177">
                  <c:v>0.075</c:v>
                </c:pt>
                <c:pt idx="178">
                  <c:v>0.075</c:v>
                </c:pt>
                <c:pt idx="179">
                  <c:v>0.075</c:v>
                </c:pt>
                <c:pt idx="180">
                  <c:v>0.076</c:v>
                </c:pt>
                <c:pt idx="181">
                  <c:v>0.075</c:v>
                </c:pt>
                <c:pt idx="182">
                  <c:v>0.076</c:v>
                </c:pt>
                <c:pt idx="183">
                  <c:v>0.077</c:v>
                </c:pt>
                <c:pt idx="184">
                  <c:v>0.077</c:v>
                </c:pt>
                <c:pt idx="185">
                  <c:v>0.077</c:v>
                </c:pt>
                <c:pt idx="186">
                  <c:v>0.078</c:v>
                </c:pt>
                <c:pt idx="187">
                  <c:v>0.078</c:v>
                </c:pt>
                <c:pt idx="188">
                  <c:v>0.078</c:v>
                </c:pt>
                <c:pt idx="189">
                  <c:v>0.079</c:v>
                </c:pt>
                <c:pt idx="190">
                  <c:v>0.079</c:v>
                </c:pt>
                <c:pt idx="191">
                  <c:v>0.08</c:v>
                </c:pt>
                <c:pt idx="192">
                  <c:v>0.08</c:v>
                </c:pt>
                <c:pt idx="193">
                  <c:v>0.08</c:v>
                </c:pt>
                <c:pt idx="194">
                  <c:v>0.08</c:v>
                </c:pt>
                <c:pt idx="195">
                  <c:v>0.081</c:v>
                </c:pt>
                <c:pt idx="196">
                  <c:v>0.081</c:v>
                </c:pt>
                <c:pt idx="197">
                  <c:v>0.082</c:v>
                </c:pt>
                <c:pt idx="198">
                  <c:v>0.081</c:v>
                </c:pt>
                <c:pt idx="199">
                  <c:v>0.082</c:v>
                </c:pt>
                <c:pt idx="200">
                  <c:v>0.082</c:v>
                </c:pt>
                <c:pt idx="201">
                  <c:v>0.083</c:v>
                </c:pt>
                <c:pt idx="202">
                  <c:v>0.083</c:v>
                </c:pt>
                <c:pt idx="203">
                  <c:v>0.084</c:v>
                </c:pt>
                <c:pt idx="204">
                  <c:v>0.084</c:v>
                </c:pt>
                <c:pt idx="205">
                  <c:v>0.084</c:v>
                </c:pt>
                <c:pt idx="206">
                  <c:v>0.085</c:v>
                </c:pt>
                <c:pt idx="207">
                  <c:v>0.085</c:v>
                </c:pt>
                <c:pt idx="208">
                  <c:v>0.086</c:v>
                </c:pt>
                <c:pt idx="209">
                  <c:v>0.086</c:v>
                </c:pt>
                <c:pt idx="210">
                  <c:v>0.087</c:v>
                </c:pt>
                <c:pt idx="211">
                  <c:v>0.087</c:v>
                </c:pt>
                <c:pt idx="212">
                  <c:v>0.087</c:v>
                </c:pt>
                <c:pt idx="213">
                  <c:v>0.088</c:v>
                </c:pt>
                <c:pt idx="214">
                  <c:v>0.088</c:v>
                </c:pt>
                <c:pt idx="215">
                  <c:v>0.088</c:v>
                </c:pt>
                <c:pt idx="216">
                  <c:v>0.088</c:v>
                </c:pt>
                <c:pt idx="217">
                  <c:v>0.089</c:v>
                </c:pt>
                <c:pt idx="218">
                  <c:v>0.089</c:v>
                </c:pt>
                <c:pt idx="219">
                  <c:v>0.089</c:v>
                </c:pt>
                <c:pt idx="220">
                  <c:v>0.089</c:v>
                </c:pt>
                <c:pt idx="221">
                  <c:v>0.09</c:v>
                </c:pt>
                <c:pt idx="222">
                  <c:v>0.091</c:v>
                </c:pt>
                <c:pt idx="223">
                  <c:v>0.09</c:v>
                </c:pt>
                <c:pt idx="224">
                  <c:v>0.091</c:v>
                </c:pt>
                <c:pt idx="225">
                  <c:v>0.091</c:v>
                </c:pt>
                <c:pt idx="226">
                  <c:v>0.092</c:v>
                </c:pt>
                <c:pt idx="227">
                  <c:v>0.092</c:v>
                </c:pt>
                <c:pt idx="228">
                  <c:v>0.093</c:v>
                </c:pt>
                <c:pt idx="229">
                  <c:v>0.093</c:v>
                </c:pt>
                <c:pt idx="230">
                  <c:v>0.093</c:v>
                </c:pt>
                <c:pt idx="231">
                  <c:v>0.093</c:v>
                </c:pt>
                <c:pt idx="232">
                  <c:v>0.094</c:v>
                </c:pt>
                <c:pt idx="233">
                  <c:v>0.094</c:v>
                </c:pt>
                <c:pt idx="234">
                  <c:v>0.094</c:v>
                </c:pt>
                <c:pt idx="235">
                  <c:v>0.095</c:v>
                </c:pt>
                <c:pt idx="236">
                  <c:v>0.095</c:v>
                </c:pt>
                <c:pt idx="237">
                  <c:v>0.095</c:v>
                </c:pt>
                <c:pt idx="238">
                  <c:v>0.096</c:v>
                </c:pt>
                <c:pt idx="239">
                  <c:v>0.097</c:v>
                </c:pt>
                <c:pt idx="240">
                  <c:v>0.096</c:v>
                </c:pt>
                <c:pt idx="241">
                  <c:v>0.097</c:v>
                </c:pt>
                <c:pt idx="242">
                  <c:v>0.097</c:v>
                </c:pt>
                <c:pt idx="243">
                  <c:v>0.097</c:v>
                </c:pt>
                <c:pt idx="244">
                  <c:v>0.098</c:v>
                </c:pt>
                <c:pt idx="245">
                  <c:v>0.098</c:v>
                </c:pt>
                <c:pt idx="246">
                  <c:v>0.098</c:v>
                </c:pt>
                <c:pt idx="247">
                  <c:v>0.098</c:v>
                </c:pt>
                <c:pt idx="248">
                  <c:v>0.1</c:v>
                </c:pt>
                <c:pt idx="249">
                  <c:v>0.1</c:v>
                </c:pt>
                <c:pt idx="250">
                  <c:v>0.101</c:v>
                </c:pt>
                <c:pt idx="251">
                  <c:v>0.101</c:v>
                </c:pt>
                <c:pt idx="252">
                  <c:v>0.101</c:v>
                </c:pt>
                <c:pt idx="253">
                  <c:v>0.101</c:v>
                </c:pt>
                <c:pt idx="254">
                  <c:v>0.101</c:v>
                </c:pt>
                <c:pt idx="255">
                  <c:v>0.102</c:v>
                </c:pt>
                <c:pt idx="256">
                  <c:v>0.102</c:v>
                </c:pt>
                <c:pt idx="257">
                  <c:v>0.102</c:v>
                </c:pt>
                <c:pt idx="258">
                  <c:v>0.102</c:v>
                </c:pt>
                <c:pt idx="259">
                  <c:v>0.103</c:v>
                </c:pt>
                <c:pt idx="260">
                  <c:v>0.104</c:v>
                </c:pt>
                <c:pt idx="261">
                  <c:v>0.104</c:v>
                </c:pt>
                <c:pt idx="262">
                  <c:v>0.104</c:v>
                </c:pt>
                <c:pt idx="263">
                  <c:v>0.105</c:v>
                </c:pt>
                <c:pt idx="264">
                  <c:v>0.105</c:v>
                </c:pt>
                <c:pt idx="265">
                  <c:v>0.105</c:v>
                </c:pt>
                <c:pt idx="266">
                  <c:v>0.105</c:v>
                </c:pt>
                <c:pt idx="267">
                  <c:v>0.106</c:v>
                </c:pt>
                <c:pt idx="268">
                  <c:v>0.107</c:v>
                </c:pt>
                <c:pt idx="269">
                  <c:v>0.107</c:v>
                </c:pt>
                <c:pt idx="270">
                  <c:v>0.107</c:v>
                </c:pt>
                <c:pt idx="271">
                  <c:v>0.107</c:v>
                </c:pt>
                <c:pt idx="272">
                  <c:v>0.108</c:v>
                </c:pt>
                <c:pt idx="273">
                  <c:v>0.108</c:v>
                </c:pt>
                <c:pt idx="274">
                  <c:v>0.108</c:v>
                </c:pt>
                <c:pt idx="275">
                  <c:v>0.108</c:v>
                </c:pt>
                <c:pt idx="276">
                  <c:v>0.109</c:v>
                </c:pt>
                <c:pt idx="277">
                  <c:v>0.109</c:v>
                </c:pt>
                <c:pt idx="278">
                  <c:v>0.109</c:v>
                </c:pt>
                <c:pt idx="279">
                  <c:v>0.11</c:v>
                </c:pt>
                <c:pt idx="280">
                  <c:v>0.11</c:v>
                </c:pt>
                <c:pt idx="281">
                  <c:v>0.111</c:v>
                </c:pt>
                <c:pt idx="282">
                  <c:v>0.111</c:v>
                </c:pt>
                <c:pt idx="283">
                  <c:v>0.111</c:v>
                </c:pt>
                <c:pt idx="284">
                  <c:v>0.111</c:v>
                </c:pt>
                <c:pt idx="285">
                  <c:v>0.111</c:v>
                </c:pt>
                <c:pt idx="286">
                  <c:v>0.112</c:v>
                </c:pt>
                <c:pt idx="287">
                  <c:v>0.112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Sheet2!$F$9:$F$10</c:f>
              <c:strCache>
                <c:ptCount val="1"/>
                <c:pt idx="0">
                  <c:v>5.5493 mmol/l Value</c:v>
                </c:pt>
              </c:strCache>
            </c:strRef>
          </c:tx>
          <c:spPr>
            <a:solidFill>
              <a:srgbClr val="9bbb5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Sheet2!$A$11:$A$298</c:f>
              <c:numCache>
                <c:formatCode>General</c:formatCode>
                <c:ptCount val="28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</c:numCache>
            </c:numRef>
          </c:xVal>
          <c:yVal>
            <c:numRef>
              <c:f>Sheet2!$F$11:$F$298</c:f>
              <c:numCache>
                <c:formatCode>General</c:formatCode>
                <c:ptCount val="288"/>
                <c:pt idx="0">
                  <c:v>0.004</c:v>
                </c:pt>
                <c:pt idx="1">
                  <c:v>0.004</c:v>
                </c:pt>
                <c:pt idx="2">
                  <c:v>0.004</c:v>
                </c:pt>
                <c:pt idx="3">
                  <c:v>0.005</c:v>
                </c:pt>
                <c:pt idx="4">
                  <c:v>0.005</c:v>
                </c:pt>
                <c:pt idx="5">
                  <c:v>0.005</c:v>
                </c:pt>
                <c:pt idx="6">
                  <c:v>0.005</c:v>
                </c:pt>
                <c:pt idx="7">
                  <c:v>0.006</c:v>
                </c:pt>
                <c:pt idx="8">
                  <c:v>0.005</c:v>
                </c:pt>
                <c:pt idx="9">
                  <c:v>0.006</c:v>
                </c:pt>
                <c:pt idx="10">
                  <c:v>0.007</c:v>
                </c:pt>
                <c:pt idx="11">
                  <c:v>0.007</c:v>
                </c:pt>
                <c:pt idx="12">
                  <c:v>0.007</c:v>
                </c:pt>
                <c:pt idx="13">
                  <c:v>0.007</c:v>
                </c:pt>
                <c:pt idx="14">
                  <c:v>0.008</c:v>
                </c:pt>
                <c:pt idx="15">
                  <c:v>0.008</c:v>
                </c:pt>
                <c:pt idx="16">
                  <c:v>0.008</c:v>
                </c:pt>
                <c:pt idx="17">
                  <c:v>0.008</c:v>
                </c:pt>
                <c:pt idx="18">
                  <c:v>0.008</c:v>
                </c:pt>
                <c:pt idx="19">
                  <c:v>0.009</c:v>
                </c:pt>
                <c:pt idx="20">
                  <c:v>0.008</c:v>
                </c:pt>
                <c:pt idx="21">
                  <c:v>0.009</c:v>
                </c:pt>
                <c:pt idx="22">
                  <c:v>0.009</c:v>
                </c:pt>
                <c:pt idx="23">
                  <c:v>0.009</c:v>
                </c:pt>
                <c:pt idx="24">
                  <c:v>0.009</c:v>
                </c:pt>
                <c:pt idx="25">
                  <c:v>0.009</c:v>
                </c:pt>
                <c:pt idx="26">
                  <c:v>0.01</c:v>
                </c:pt>
                <c:pt idx="27">
                  <c:v>0.01</c:v>
                </c:pt>
                <c:pt idx="28">
                  <c:v>0.009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0.011</c:v>
                </c:pt>
                <c:pt idx="36">
                  <c:v>0.011</c:v>
                </c:pt>
                <c:pt idx="37">
                  <c:v>0.01</c:v>
                </c:pt>
                <c:pt idx="38">
                  <c:v>0.011</c:v>
                </c:pt>
                <c:pt idx="39">
                  <c:v>0.011</c:v>
                </c:pt>
                <c:pt idx="40">
                  <c:v>0.011</c:v>
                </c:pt>
                <c:pt idx="41">
                  <c:v>0.011</c:v>
                </c:pt>
                <c:pt idx="42">
                  <c:v>0.012</c:v>
                </c:pt>
                <c:pt idx="43">
                  <c:v>0.011</c:v>
                </c:pt>
                <c:pt idx="44">
                  <c:v>0.012</c:v>
                </c:pt>
                <c:pt idx="45">
                  <c:v>0.011</c:v>
                </c:pt>
                <c:pt idx="46">
                  <c:v>0.012</c:v>
                </c:pt>
                <c:pt idx="47">
                  <c:v>0.011</c:v>
                </c:pt>
                <c:pt idx="48">
                  <c:v>0.012</c:v>
                </c:pt>
                <c:pt idx="49">
                  <c:v>0.011</c:v>
                </c:pt>
                <c:pt idx="50">
                  <c:v>0.012</c:v>
                </c:pt>
                <c:pt idx="51">
                  <c:v>0.012</c:v>
                </c:pt>
                <c:pt idx="52">
                  <c:v>0.012</c:v>
                </c:pt>
                <c:pt idx="53">
                  <c:v>0.012</c:v>
                </c:pt>
                <c:pt idx="54">
                  <c:v>0.013</c:v>
                </c:pt>
                <c:pt idx="55">
                  <c:v>0.013</c:v>
                </c:pt>
                <c:pt idx="56">
                  <c:v>0.012</c:v>
                </c:pt>
                <c:pt idx="57">
                  <c:v>0.012</c:v>
                </c:pt>
                <c:pt idx="58">
                  <c:v>0.013</c:v>
                </c:pt>
                <c:pt idx="59">
                  <c:v>0.014</c:v>
                </c:pt>
                <c:pt idx="60">
                  <c:v>0.012</c:v>
                </c:pt>
                <c:pt idx="61">
                  <c:v>0.013</c:v>
                </c:pt>
                <c:pt idx="62">
                  <c:v>0.013</c:v>
                </c:pt>
                <c:pt idx="63">
                  <c:v>0.013</c:v>
                </c:pt>
                <c:pt idx="64">
                  <c:v>0.014</c:v>
                </c:pt>
                <c:pt idx="65">
                  <c:v>0.013</c:v>
                </c:pt>
                <c:pt idx="66">
                  <c:v>0.013</c:v>
                </c:pt>
                <c:pt idx="67">
                  <c:v>0.014</c:v>
                </c:pt>
                <c:pt idx="68">
                  <c:v>0.014</c:v>
                </c:pt>
                <c:pt idx="69">
                  <c:v>0.014</c:v>
                </c:pt>
                <c:pt idx="70">
                  <c:v>0.014</c:v>
                </c:pt>
                <c:pt idx="71">
                  <c:v>0.014</c:v>
                </c:pt>
                <c:pt idx="72">
                  <c:v>0.015</c:v>
                </c:pt>
                <c:pt idx="73">
                  <c:v>0.015</c:v>
                </c:pt>
                <c:pt idx="74">
                  <c:v>0.014</c:v>
                </c:pt>
                <c:pt idx="75">
                  <c:v>0.014</c:v>
                </c:pt>
                <c:pt idx="76">
                  <c:v>0.015</c:v>
                </c:pt>
                <c:pt idx="77">
                  <c:v>0.014</c:v>
                </c:pt>
                <c:pt idx="78">
                  <c:v>0.015</c:v>
                </c:pt>
                <c:pt idx="79">
                  <c:v>0.015</c:v>
                </c:pt>
                <c:pt idx="80">
                  <c:v>0.015</c:v>
                </c:pt>
                <c:pt idx="81">
                  <c:v>0.015</c:v>
                </c:pt>
                <c:pt idx="82">
                  <c:v>0.016</c:v>
                </c:pt>
                <c:pt idx="83">
                  <c:v>0.015</c:v>
                </c:pt>
                <c:pt idx="84">
                  <c:v>0.016</c:v>
                </c:pt>
                <c:pt idx="85">
                  <c:v>0.015</c:v>
                </c:pt>
                <c:pt idx="86">
                  <c:v>0.016</c:v>
                </c:pt>
                <c:pt idx="87">
                  <c:v>0.016</c:v>
                </c:pt>
                <c:pt idx="88">
                  <c:v>0.016</c:v>
                </c:pt>
                <c:pt idx="89">
                  <c:v>0.015</c:v>
                </c:pt>
                <c:pt idx="90">
                  <c:v>0.017</c:v>
                </c:pt>
                <c:pt idx="91">
                  <c:v>0.017</c:v>
                </c:pt>
                <c:pt idx="92">
                  <c:v>0.016</c:v>
                </c:pt>
                <c:pt idx="93">
                  <c:v>0.016</c:v>
                </c:pt>
                <c:pt idx="94">
                  <c:v>0.016</c:v>
                </c:pt>
                <c:pt idx="95">
                  <c:v>0.017</c:v>
                </c:pt>
                <c:pt idx="96">
                  <c:v>0.017</c:v>
                </c:pt>
                <c:pt idx="97">
                  <c:v>0.018</c:v>
                </c:pt>
                <c:pt idx="98">
                  <c:v>0.017</c:v>
                </c:pt>
                <c:pt idx="99">
                  <c:v>0.018</c:v>
                </c:pt>
                <c:pt idx="100">
                  <c:v>0.018</c:v>
                </c:pt>
                <c:pt idx="101">
                  <c:v>0.017</c:v>
                </c:pt>
                <c:pt idx="102">
                  <c:v>0.018</c:v>
                </c:pt>
                <c:pt idx="103">
                  <c:v>0.018</c:v>
                </c:pt>
                <c:pt idx="104">
                  <c:v>0.019</c:v>
                </c:pt>
                <c:pt idx="105">
                  <c:v>0.019</c:v>
                </c:pt>
                <c:pt idx="106">
                  <c:v>0.019</c:v>
                </c:pt>
                <c:pt idx="107">
                  <c:v>0.019</c:v>
                </c:pt>
                <c:pt idx="108">
                  <c:v>0.019</c:v>
                </c:pt>
                <c:pt idx="109">
                  <c:v>0.019</c:v>
                </c:pt>
                <c:pt idx="110">
                  <c:v>0.019</c:v>
                </c:pt>
                <c:pt idx="111">
                  <c:v>0.019</c:v>
                </c:pt>
                <c:pt idx="112">
                  <c:v>0.02</c:v>
                </c:pt>
                <c:pt idx="113">
                  <c:v>0.02</c:v>
                </c:pt>
                <c:pt idx="114">
                  <c:v>0.02</c:v>
                </c:pt>
                <c:pt idx="115">
                  <c:v>0.02</c:v>
                </c:pt>
                <c:pt idx="116">
                  <c:v>0.019</c:v>
                </c:pt>
                <c:pt idx="117">
                  <c:v>0.02</c:v>
                </c:pt>
                <c:pt idx="118">
                  <c:v>0.021</c:v>
                </c:pt>
                <c:pt idx="119">
                  <c:v>0.02</c:v>
                </c:pt>
                <c:pt idx="120">
                  <c:v>0.021</c:v>
                </c:pt>
                <c:pt idx="121">
                  <c:v>0.021</c:v>
                </c:pt>
                <c:pt idx="122">
                  <c:v>0.021</c:v>
                </c:pt>
                <c:pt idx="123">
                  <c:v>0.021</c:v>
                </c:pt>
                <c:pt idx="124">
                  <c:v>0.021</c:v>
                </c:pt>
                <c:pt idx="125">
                  <c:v>0.02</c:v>
                </c:pt>
                <c:pt idx="126">
                  <c:v>0.02</c:v>
                </c:pt>
                <c:pt idx="127">
                  <c:v>0.021</c:v>
                </c:pt>
                <c:pt idx="128">
                  <c:v>0.021</c:v>
                </c:pt>
                <c:pt idx="129">
                  <c:v>0.022</c:v>
                </c:pt>
                <c:pt idx="130">
                  <c:v>0.022</c:v>
                </c:pt>
                <c:pt idx="131">
                  <c:v>0.022</c:v>
                </c:pt>
                <c:pt idx="132">
                  <c:v>0.022</c:v>
                </c:pt>
                <c:pt idx="133">
                  <c:v>0.022</c:v>
                </c:pt>
                <c:pt idx="134">
                  <c:v>0.022</c:v>
                </c:pt>
                <c:pt idx="135">
                  <c:v>0.023</c:v>
                </c:pt>
                <c:pt idx="136">
                  <c:v>0.022</c:v>
                </c:pt>
                <c:pt idx="137">
                  <c:v>0.022</c:v>
                </c:pt>
                <c:pt idx="138">
                  <c:v>0.023</c:v>
                </c:pt>
                <c:pt idx="139">
                  <c:v>0.022</c:v>
                </c:pt>
                <c:pt idx="140">
                  <c:v>0.023</c:v>
                </c:pt>
                <c:pt idx="141">
                  <c:v>0.022</c:v>
                </c:pt>
                <c:pt idx="142">
                  <c:v>0.023</c:v>
                </c:pt>
                <c:pt idx="143">
                  <c:v>0.023</c:v>
                </c:pt>
                <c:pt idx="144">
                  <c:v>0.023</c:v>
                </c:pt>
                <c:pt idx="145">
                  <c:v>0.023</c:v>
                </c:pt>
                <c:pt idx="146">
                  <c:v>0.024</c:v>
                </c:pt>
                <c:pt idx="147">
                  <c:v>0.024</c:v>
                </c:pt>
                <c:pt idx="148">
                  <c:v>0.024</c:v>
                </c:pt>
                <c:pt idx="149">
                  <c:v>0.023</c:v>
                </c:pt>
                <c:pt idx="150">
                  <c:v>0.024</c:v>
                </c:pt>
                <c:pt idx="151">
                  <c:v>0.024</c:v>
                </c:pt>
                <c:pt idx="152">
                  <c:v>0.024</c:v>
                </c:pt>
                <c:pt idx="153">
                  <c:v>0.024</c:v>
                </c:pt>
                <c:pt idx="154">
                  <c:v>0.025</c:v>
                </c:pt>
                <c:pt idx="155">
                  <c:v>0.024</c:v>
                </c:pt>
                <c:pt idx="156">
                  <c:v>0.024</c:v>
                </c:pt>
                <c:pt idx="157">
                  <c:v>0.025</c:v>
                </c:pt>
                <c:pt idx="158">
                  <c:v>0.025</c:v>
                </c:pt>
                <c:pt idx="159">
                  <c:v>0.024</c:v>
                </c:pt>
                <c:pt idx="160">
                  <c:v>0.025</c:v>
                </c:pt>
                <c:pt idx="161">
                  <c:v>0.024</c:v>
                </c:pt>
                <c:pt idx="162">
                  <c:v>0.025</c:v>
                </c:pt>
                <c:pt idx="163">
                  <c:v>0.026</c:v>
                </c:pt>
                <c:pt idx="164">
                  <c:v>0.025</c:v>
                </c:pt>
                <c:pt idx="165">
                  <c:v>0.025</c:v>
                </c:pt>
                <c:pt idx="166">
                  <c:v>0.026</c:v>
                </c:pt>
                <c:pt idx="167">
                  <c:v>0.026</c:v>
                </c:pt>
                <c:pt idx="168">
                  <c:v>0.026</c:v>
                </c:pt>
                <c:pt idx="169">
                  <c:v>0.026</c:v>
                </c:pt>
                <c:pt idx="170">
                  <c:v>0.026</c:v>
                </c:pt>
                <c:pt idx="171">
                  <c:v>0.026</c:v>
                </c:pt>
                <c:pt idx="172">
                  <c:v>0.026</c:v>
                </c:pt>
                <c:pt idx="173">
                  <c:v>0.026</c:v>
                </c:pt>
                <c:pt idx="174">
                  <c:v>0.027</c:v>
                </c:pt>
                <c:pt idx="175">
                  <c:v>0.027</c:v>
                </c:pt>
                <c:pt idx="176">
                  <c:v>0.028</c:v>
                </c:pt>
                <c:pt idx="177">
                  <c:v>0.026</c:v>
                </c:pt>
                <c:pt idx="178">
                  <c:v>0.026</c:v>
                </c:pt>
                <c:pt idx="179">
                  <c:v>0.027</c:v>
                </c:pt>
                <c:pt idx="180">
                  <c:v>0.027</c:v>
                </c:pt>
                <c:pt idx="181">
                  <c:v>0.027</c:v>
                </c:pt>
                <c:pt idx="182">
                  <c:v>0.028</c:v>
                </c:pt>
                <c:pt idx="183">
                  <c:v>0.027</c:v>
                </c:pt>
                <c:pt idx="184">
                  <c:v>0.027</c:v>
                </c:pt>
                <c:pt idx="185">
                  <c:v>0.028</c:v>
                </c:pt>
                <c:pt idx="186">
                  <c:v>0.028</c:v>
                </c:pt>
                <c:pt idx="187">
                  <c:v>0.028</c:v>
                </c:pt>
                <c:pt idx="188">
                  <c:v>0.028</c:v>
                </c:pt>
                <c:pt idx="189">
                  <c:v>0.028</c:v>
                </c:pt>
                <c:pt idx="190">
                  <c:v>0.028</c:v>
                </c:pt>
                <c:pt idx="191">
                  <c:v>0.028</c:v>
                </c:pt>
                <c:pt idx="192">
                  <c:v>0.028</c:v>
                </c:pt>
                <c:pt idx="193">
                  <c:v>0.028</c:v>
                </c:pt>
                <c:pt idx="194">
                  <c:v>0.029</c:v>
                </c:pt>
                <c:pt idx="195">
                  <c:v>0.029</c:v>
                </c:pt>
                <c:pt idx="196">
                  <c:v>0.029</c:v>
                </c:pt>
                <c:pt idx="197">
                  <c:v>0.029</c:v>
                </c:pt>
                <c:pt idx="198">
                  <c:v>0.029</c:v>
                </c:pt>
                <c:pt idx="199">
                  <c:v>0.029</c:v>
                </c:pt>
                <c:pt idx="200">
                  <c:v>0.029</c:v>
                </c:pt>
                <c:pt idx="201">
                  <c:v>0.03</c:v>
                </c:pt>
                <c:pt idx="202">
                  <c:v>0.029</c:v>
                </c:pt>
                <c:pt idx="203">
                  <c:v>0.03</c:v>
                </c:pt>
                <c:pt idx="204">
                  <c:v>0.03</c:v>
                </c:pt>
                <c:pt idx="205">
                  <c:v>0.03</c:v>
                </c:pt>
                <c:pt idx="206">
                  <c:v>0.03</c:v>
                </c:pt>
                <c:pt idx="207">
                  <c:v>0.03</c:v>
                </c:pt>
                <c:pt idx="208">
                  <c:v>0.031</c:v>
                </c:pt>
                <c:pt idx="209">
                  <c:v>0.031</c:v>
                </c:pt>
                <c:pt idx="210">
                  <c:v>0.031</c:v>
                </c:pt>
                <c:pt idx="211">
                  <c:v>0.031</c:v>
                </c:pt>
                <c:pt idx="212">
                  <c:v>0.03</c:v>
                </c:pt>
                <c:pt idx="213">
                  <c:v>0.031</c:v>
                </c:pt>
                <c:pt idx="214">
                  <c:v>0.031</c:v>
                </c:pt>
                <c:pt idx="215">
                  <c:v>0.031</c:v>
                </c:pt>
                <c:pt idx="216">
                  <c:v>0.032</c:v>
                </c:pt>
                <c:pt idx="217">
                  <c:v>0.031</c:v>
                </c:pt>
                <c:pt idx="218">
                  <c:v>0.031</c:v>
                </c:pt>
                <c:pt idx="219">
                  <c:v>0.031</c:v>
                </c:pt>
                <c:pt idx="220">
                  <c:v>0.031</c:v>
                </c:pt>
                <c:pt idx="221">
                  <c:v>0.032</c:v>
                </c:pt>
                <c:pt idx="222">
                  <c:v>0.032</c:v>
                </c:pt>
                <c:pt idx="223">
                  <c:v>0.032</c:v>
                </c:pt>
                <c:pt idx="224">
                  <c:v>0.032</c:v>
                </c:pt>
                <c:pt idx="225">
                  <c:v>0.032</c:v>
                </c:pt>
                <c:pt idx="226">
                  <c:v>0.032</c:v>
                </c:pt>
                <c:pt idx="227">
                  <c:v>0.032</c:v>
                </c:pt>
                <c:pt idx="228">
                  <c:v>0.033</c:v>
                </c:pt>
                <c:pt idx="229">
                  <c:v>0.032</c:v>
                </c:pt>
                <c:pt idx="230">
                  <c:v>0.033</c:v>
                </c:pt>
                <c:pt idx="231">
                  <c:v>0.033</c:v>
                </c:pt>
                <c:pt idx="232">
                  <c:v>0.033</c:v>
                </c:pt>
                <c:pt idx="233">
                  <c:v>0.034</c:v>
                </c:pt>
                <c:pt idx="234">
                  <c:v>0.033</c:v>
                </c:pt>
                <c:pt idx="235">
                  <c:v>0.034</c:v>
                </c:pt>
                <c:pt idx="236">
                  <c:v>0.033</c:v>
                </c:pt>
                <c:pt idx="237">
                  <c:v>0.033</c:v>
                </c:pt>
                <c:pt idx="238">
                  <c:v>0.034</c:v>
                </c:pt>
                <c:pt idx="239">
                  <c:v>0.034</c:v>
                </c:pt>
                <c:pt idx="240">
                  <c:v>0.034</c:v>
                </c:pt>
                <c:pt idx="241">
                  <c:v>0.034</c:v>
                </c:pt>
                <c:pt idx="242">
                  <c:v>0.034</c:v>
                </c:pt>
                <c:pt idx="243">
                  <c:v>0.034</c:v>
                </c:pt>
                <c:pt idx="244">
                  <c:v>0.035</c:v>
                </c:pt>
                <c:pt idx="245">
                  <c:v>0.035</c:v>
                </c:pt>
                <c:pt idx="246">
                  <c:v>0.035</c:v>
                </c:pt>
                <c:pt idx="247">
                  <c:v>0.035</c:v>
                </c:pt>
                <c:pt idx="248">
                  <c:v>0.035</c:v>
                </c:pt>
                <c:pt idx="249">
                  <c:v>0.034</c:v>
                </c:pt>
                <c:pt idx="250">
                  <c:v>0.035</c:v>
                </c:pt>
                <c:pt idx="251">
                  <c:v>0.036</c:v>
                </c:pt>
                <c:pt idx="252">
                  <c:v>0.036</c:v>
                </c:pt>
                <c:pt idx="253">
                  <c:v>0.036</c:v>
                </c:pt>
                <c:pt idx="254">
                  <c:v>0.036</c:v>
                </c:pt>
                <c:pt idx="255">
                  <c:v>0.036</c:v>
                </c:pt>
                <c:pt idx="256">
                  <c:v>0.036</c:v>
                </c:pt>
                <c:pt idx="257">
                  <c:v>0.035</c:v>
                </c:pt>
                <c:pt idx="258">
                  <c:v>0.036</c:v>
                </c:pt>
                <c:pt idx="259">
                  <c:v>0.037</c:v>
                </c:pt>
                <c:pt idx="260">
                  <c:v>0.036</c:v>
                </c:pt>
                <c:pt idx="261">
                  <c:v>0.036</c:v>
                </c:pt>
                <c:pt idx="262">
                  <c:v>0.037</c:v>
                </c:pt>
                <c:pt idx="263">
                  <c:v>0.037</c:v>
                </c:pt>
                <c:pt idx="264">
                  <c:v>0.037</c:v>
                </c:pt>
                <c:pt idx="265">
                  <c:v>0.037</c:v>
                </c:pt>
                <c:pt idx="266">
                  <c:v>0.036</c:v>
                </c:pt>
                <c:pt idx="267">
                  <c:v>0.037</c:v>
                </c:pt>
                <c:pt idx="268">
                  <c:v>0.037</c:v>
                </c:pt>
                <c:pt idx="269">
                  <c:v>0.037</c:v>
                </c:pt>
                <c:pt idx="270">
                  <c:v>0.038</c:v>
                </c:pt>
                <c:pt idx="271">
                  <c:v>0.038</c:v>
                </c:pt>
                <c:pt idx="272">
                  <c:v>0.038</c:v>
                </c:pt>
                <c:pt idx="273">
                  <c:v>0.038</c:v>
                </c:pt>
                <c:pt idx="274">
                  <c:v>0.037</c:v>
                </c:pt>
                <c:pt idx="275">
                  <c:v>0.038</c:v>
                </c:pt>
                <c:pt idx="276">
                  <c:v>0.039</c:v>
                </c:pt>
                <c:pt idx="277">
                  <c:v>0.038</c:v>
                </c:pt>
                <c:pt idx="278">
                  <c:v>0.038</c:v>
                </c:pt>
                <c:pt idx="279">
                  <c:v>0.039</c:v>
                </c:pt>
                <c:pt idx="280">
                  <c:v>0.038</c:v>
                </c:pt>
                <c:pt idx="281">
                  <c:v>0.038</c:v>
                </c:pt>
                <c:pt idx="282">
                  <c:v>0.039</c:v>
                </c:pt>
                <c:pt idx="283">
                  <c:v>0.039</c:v>
                </c:pt>
                <c:pt idx="284">
                  <c:v>0.039</c:v>
                </c:pt>
                <c:pt idx="285">
                  <c:v>0.039</c:v>
                </c:pt>
                <c:pt idx="286">
                  <c:v>0.039</c:v>
                </c:pt>
                <c:pt idx="287">
                  <c:v>0.039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Sheet2!$H$9:$H$10</c:f>
              <c:strCache>
                <c:ptCount val="1"/>
                <c:pt idx="0">
                  <c:v>7.3990 mmol/l Value</c:v>
                </c:pt>
              </c:strCache>
            </c:strRef>
          </c:tx>
          <c:spPr>
            <a:solidFill>
              <a:srgbClr val="8064a2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Sheet2!$A$11:$A$298</c:f>
              <c:numCache>
                <c:formatCode>General</c:formatCode>
                <c:ptCount val="28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</c:numCache>
            </c:numRef>
          </c:xVal>
          <c:yVal>
            <c:numRef>
              <c:f>Sheet2!$H$11:$H$298</c:f>
              <c:numCache>
                <c:formatCode>General</c:formatCode>
                <c:ptCount val="288"/>
                <c:pt idx="0">
                  <c:v>0.005</c:v>
                </c:pt>
                <c:pt idx="1">
                  <c:v>0.006</c:v>
                </c:pt>
                <c:pt idx="2">
                  <c:v>0.006</c:v>
                </c:pt>
                <c:pt idx="3">
                  <c:v>0.006</c:v>
                </c:pt>
                <c:pt idx="4">
                  <c:v>0.007</c:v>
                </c:pt>
                <c:pt idx="5">
                  <c:v>0.007</c:v>
                </c:pt>
                <c:pt idx="6">
                  <c:v>0.007</c:v>
                </c:pt>
                <c:pt idx="7">
                  <c:v>0.008</c:v>
                </c:pt>
                <c:pt idx="8">
                  <c:v>0.008</c:v>
                </c:pt>
                <c:pt idx="9">
                  <c:v>0.007</c:v>
                </c:pt>
                <c:pt idx="10">
                  <c:v>0.009</c:v>
                </c:pt>
                <c:pt idx="11">
                  <c:v>0.009</c:v>
                </c:pt>
                <c:pt idx="12">
                  <c:v>0.008</c:v>
                </c:pt>
                <c:pt idx="13">
                  <c:v>0.01</c:v>
                </c:pt>
                <c:pt idx="14">
                  <c:v>0.009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0.011</c:v>
                </c:pt>
                <c:pt idx="20">
                  <c:v>0.011</c:v>
                </c:pt>
                <c:pt idx="21">
                  <c:v>0.011</c:v>
                </c:pt>
                <c:pt idx="22">
                  <c:v>0.011</c:v>
                </c:pt>
                <c:pt idx="23">
                  <c:v>0.012</c:v>
                </c:pt>
                <c:pt idx="24">
                  <c:v>0.011</c:v>
                </c:pt>
                <c:pt idx="25">
                  <c:v>0.011</c:v>
                </c:pt>
                <c:pt idx="26">
                  <c:v>0.011</c:v>
                </c:pt>
                <c:pt idx="27">
                  <c:v>0.012</c:v>
                </c:pt>
                <c:pt idx="28">
                  <c:v>0.013</c:v>
                </c:pt>
                <c:pt idx="29">
                  <c:v>0.012</c:v>
                </c:pt>
                <c:pt idx="30">
                  <c:v>0.013</c:v>
                </c:pt>
                <c:pt idx="31">
                  <c:v>0.013</c:v>
                </c:pt>
                <c:pt idx="32">
                  <c:v>0.012</c:v>
                </c:pt>
                <c:pt idx="33">
                  <c:v>0.013</c:v>
                </c:pt>
                <c:pt idx="34">
                  <c:v>0.013</c:v>
                </c:pt>
                <c:pt idx="35">
                  <c:v>0.012</c:v>
                </c:pt>
                <c:pt idx="36">
                  <c:v>0.014</c:v>
                </c:pt>
                <c:pt idx="37">
                  <c:v>0.013</c:v>
                </c:pt>
                <c:pt idx="38">
                  <c:v>0.013</c:v>
                </c:pt>
                <c:pt idx="39">
                  <c:v>0.014</c:v>
                </c:pt>
                <c:pt idx="40">
                  <c:v>0.013</c:v>
                </c:pt>
                <c:pt idx="41">
                  <c:v>0.013</c:v>
                </c:pt>
                <c:pt idx="42">
                  <c:v>0.014</c:v>
                </c:pt>
                <c:pt idx="43">
                  <c:v>0.014</c:v>
                </c:pt>
                <c:pt idx="44">
                  <c:v>0.014</c:v>
                </c:pt>
                <c:pt idx="45">
                  <c:v>0.014</c:v>
                </c:pt>
                <c:pt idx="46">
                  <c:v>0.014</c:v>
                </c:pt>
                <c:pt idx="47">
                  <c:v>0.014</c:v>
                </c:pt>
                <c:pt idx="48">
                  <c:v>0.014</c:v>
                </c:pt>
                <c:pt idx="49">
                  <c:v>0.015</c:v>
                </c:pt>
                <c:pt idx="50">
                  <c:v>0.015</c:v>
                </c:pt>
                <c:pt idx="51">
                  <c:v>0.015</c:v>
                </c:pt>
                <c:pt idx="52">
                  <c:v>0.015</c:v>
                </c:pt>
                <c:pt idx="53">
                  <c:v>0.015</c:v>
                </c:pt>
                <c:pt idx="54">
                  <c:v>0.015</c:v>
                </c:pt>
                <c:pt idx="55">
                  <c:v>0.015</c:v>
                </c:pt>
                <c:pt idx="56">
                  <c:v>0.016</c:v>
                </c:pt>
                <c:pt idx="57">
                  <c:v>0.015</c:v>
                </c:pt>
                <c:pt idx="58">
                  <c:v>0.016</c:v>
                </c:pt>
                <c:pt idx="59">
                  <c:v>0.016</c:v>
                </c:pt>
                <c:pt idx="60">
                  <c:v>0.016</c:v>
                </c:pt>
                <c:pt idx="61">
                  <c:v>0.016</c:v>
                </c:pt>
                <c:pt idx="62">
                  <c:v>0.016</c:v>
                </c:pt>
                <c:pt idx="63">
                  <c:v>0.016</c:v>
                </c:pt>
                <c:pt idx="64">
                  <c:v>0.016</c:v>
                </c:pt>
                <c:pt idx="65">
                  <c:v>0.017</c:v>
                </c:pt>
                <c:pt idx="66">
                  <c:v>0.017</c:v>
                </c:pt>
                <c:pt idx="67">
                  <c:v>0.017</c:v>
                </c:pt>
                <c:pt idx="68">
                  <c:v>0.017</c:v>
                </c:pt>
                <c:pt idx="69">
                  <c:v>0.018</c:v>
                </c:pt>
                <c:pt idx="70">
                  <c:v>0.018</c:v>
                </c:pt>
                <c:pt idx="71">
                  <c:v>0.017</c:v>
                </c:pt>
                <c:pt idx="72">
                  <c:v>0.017</c:v>
                </c:pt>
                <c:pt idx="73">
                  <c:v>0.018</c:v>
                </c:pt>
                <c:pt idx="74">
                  <c:v>0.018</c:v>
                </c:pt>
                <c:pt idx="75">
                  <c:v>0.018</c:v>
                </c:pt>
                <c:pt idx="76">
                  <c:v>0.018</c:v>
                </c:pt>
                <c:pt idx="77">
                  <c:v>0.018</c:v>
                </c:pt>
                <c:pt idx="78">
                  <c:v>0.018</c:v>
                </c:pt>
                <c:pt idx="79">
                  <c:v>0.019</c:v>
                </c:pt>
                <c:pt idx="80">
                  <c:v>0.018</c:v>
                </c:pt>
                <c:pt idx="81">
                  <c:v>0.019</c:v>
                </c:pt>
                <c:pt idx="82">
                  <c:v>0.02</c:v>
                </c:pt>
                <c:pt idx="83">
                  <c:v>0.02</c:v>
                </c:pt>
                <c:pt idx="84">
                  <c:v>0.02</c:v>
                </c:pt>
                <c:pt idx="85">
                  <c:v>0.02</c:v>
                </c:pt>
                <c:pt idx="86">
                  <c:v>0.021</c:v>
                </c:pt>
                <c:pt idx="87">
                  <c:v>0.021</c:v>
                </c:pt>
                <c:pt idx="88">
                  <c:v>0.021</c:v>
                </c:pt>
                <c:pt idx="89">
                  <c:v>0.02</c:v>
                </c:pt>
                <c:pt idx="90">
                  <c:v>0.02</c:v>
                </c:pt>
                <c:pt idx="91">
                  <c:v>0.021</c:v>
                </c:pt>
                <c:pt idx="92">
                  <c:v>0.021</c:v>
                </c:pt>
                <c:pt idx="93">
                  <c:v>0.021</c:v>
                </c:pt>
                <c:pt idx="94">
                  <c:v>0.021</c:v>
                </c:pt>
                <c:pt idx="95">
                  <c:v>0.021</c:v>
                </c:pt>
                <c:pt idx="96">
                  <c:v>0.021</c:v>
                </c:pt>
                <c:pt idx="97">
                  <c:v>0.022</c:v>
                </c:pt>
                <c:pt idx="98">
                  <c:v>0.022</c:v>
                </c:pt>
                <c:pt idx="99">
                  <c:v>0.021</c:v>
                </c:pt>
                <c:pt idx="100">
                  <c:v>0.022</c:v>
                </c:pt>
                <c:pt idx="101">
                  <c:v>0.023</c:v>
                </c:pt>
                <c:pt idx="102">
                  <c:v>0.023</c:v>
                </c:pt>
                <c:pt idx="103">
                  <c:v>0.022</c:v>
                </c:pt>
                <c:pt idx="104">
                  <c:v>0.022</c:v>
                </c:pt>
                <c:pt idx="105">
                  <c:v>0.023</c:v>
                </c:pt>
                <c:pt idx="106">
                  <c:v>0.022</c:v>
                </c:pt>
                <c:pt idx="107">
                  <c:v>0.022</c:v>
                </c:pt>
                <c:pt idx="108">
                  <c:v>0.024</c:v>
                </c:pt>
                <c:pt idx="109">
                  <c:v>0.023</c:v>
                </c:pt>
                <c:pt idx="110">
                  <c:v>0.023</c:v>
                </c:pt>
                <c:pt idx="111">
                  <c:v>0.023</c:v>
                </c:pt>
                <c:pt idx="112">
                  <c:v>0.024</c:v>
                </c:pt>
                <c:pt idx="113">
                  <c:v>0.023</c:v>
                </c:pt>
                <c:pt idx="114">
                  <c:v>0.024</c:v>
                </c:pt>
                <c:pt idx="115">
                  <c:v>0.024</c:v>
                </c:pt>
                <c:pt idx="116">
                  <c:v>0.024</c:v>
                </c:pt>
                <c:pt idx="117">
                  <c:v>0.024</c:v>
                </c:pt>
                <c:pt idx="118">
                  <c:v>0.024</c:v>
                </c:pt>
                <c:pt idx="119">
                  <c:v>0.024</c:v>
                </c:pt>
                <c:pt idx="120">
                  <c:v>0.025</c:v>
                </c:pt>
                <c:pt idx="121">
                  <c:v>0.024</c:v>
                </c:pt>
                <c:pt idx="122">
                  <c:v>0.025</c:v>
                </c:pt>
                <c:pt idx="123">
                  <c:v>0.025</c:v>
                </c:pt>
                <c:pt idx="124">
                  <c:v>0.025</c:v>
                </c:pt>
                <c:pt idx="125">
                  <c:v>0.025</c:v>
                </c:pt>
                <c:pt idx="126">
                  <c:v>0.025</c:v>
                </c:pt>
                <c:pt idx="127">
                  <c:v>0.026</c:v>
                </c:pt>
                <c:pt idx="128">
                  <c:v>0.025</c:v>
                </c:pt>
                <c:pt idx="129">
                  <c:v>0.025</c:v>
                </c:pt>
                <c:pt idx="130">
                  <c:v>0.025</c:v>
                </c:pt>
                <c:pt idx="131">
                  <c:v>0.026</c:v>
                </c:pt>
                <c:pt idx="132">
                  <c:v>0.026</c:v>
                </c:pt>
                <c:pt idx="133">
                  <c:v>0.026</c:v>
                </c:pt>
                <c:pt idx="134">
                  <c:v>0.027</c:v>
                </c:pt>
                <c:pt idx="135">
                  <c:v>0.026</c:v>
                </c:pt>
                <c:pt idx="136">
                  <c:v>0.026</c:v>
                </c:pt>
                <c:pt idx="137">
                  <c:v>0.027</c:v>
                </c:pt>
                <c:pt idx="138">
                  <c:v>0.027</c:v>
                </c:pt>
                <c:pt idx="139">
                  <c:v>0.026</c:v>
                </c:pt>
                <c:pt idx="140">
                  <c:v>0.027</c:v>
                </c:pt>
                <c:pt idx="141">
                  <c:v>0.027</c:v>
                </c:pt>
                <c:pt idx="142">
                  <c:v>0.027</c:v>
                </c:pt>
                <c:pt idx="143">
                  <c:v>0.028</c:v>
                </c:pt>
                <c:pt idx="144">
                  <c:v>0.027</c:v>
                </c:pt>
                <c:pt idx="145">
                  <c:v>0.027</c:v>
                </c:pt>
                <c:pt idx="146">
                  <c:v>0.027</c:v>
                </c:pt>
                <c:pt idx="147">
                  <c:v>0.028</c:v>
                </c:pt>
                <c:pt idx="148">
                  <c:v>0.028</c:v>
                </c:pt>
                <c:pt idx="149">
                  <c:v>0.028</c:v>
                </c:pt>
                <c:pt idx="150">
                  <c:v>0.028</c:v>
                </c:pt>
                <c:pt idx="151">
                  <c:v>0.029</c:v>
                </c:pt>
                <c:pt idx="152">
                  <c:v>0.028</c:v>
                </c:pt>
                <c:pt idx="153">
                  <c:v>0.029</c:v>
                </c:pt>
                <c:pt idx="154">
                  <c:v>0.028</c:v>
                </c:pt>
                <c:pt idx="155">
                  <c:v>0.028</c:v>
                </c:pt>
                <c:pt idx="156">
                  <c:v>0.029</c:v>
                </c:pt>
                <c:pt idx="157">
                  <c:v>0.029</c:v>
                </c:pt>
                <c:pt idx="158">
                  <c:v>0.03</c:v>
                </c:pt>
                <c:pt idx="159">
                  <c:v>0.029</c:v>
                </c:pt>
                <c:pt idx="160">
                  <c:v>0.029</c:v>
                </c:pt>
                <c:pt idx="161">
                  <c:v>0.03</c:v>
                </c:pt>
                <c:pt idx="162">
                  <c:v>0.029</c:v>
                </c:pt>
                <c:pt idx="163">
                  <c:v>0.03</c:v>
                </c:pt>
                <c:pt idx="164">
                  <c:v>0.03</c:v>
                </c:pt>
                <c:pt idx="165">
                  <c:v>0.03</c:v>
                </c:pt>
                <c:pt idx="166">
                  <c:v>0.03</c:v>
                </c:pt>
                <c:pt idx="167">
                  <c:v>0.031</c:v>
                </c:pt>
                <c:pt idx="168">
                  <c:v>0.03</c:v>
                </c:pt>
                <c:pt idx="169">
                  <c:v>0.031</c:v>
                </c:pt>
                <c:pt idx="170">
                  <c:v>0.031</c:v>
                </c:pt>
                <c:pt idx="171">
                  <c:v>0.031</c:v>
                </c:pt>
                <c:pt idx="172">
                  <c:v>0.031</c:v>
                </c:pt>
                <c:pt idx="173">
                  <c:v>0.031</c:v>
                </c:pt>
                <c:pt idx="174">
                  <c:v>0.032</c:v>
                </c:pt>
                <c:pt idx="175">
                  <c:v>0.032</c:v>
                </c:pt>
                <c:pt idx="176">
                  <c:v>0.032</c:v>
                </c:pt>
                <c:pt idx="177">
                  <c:v>0.032</c:v>
                </c:pt>
                <c:pt idx="178">
                  <c:v>0.032</c:v>
                </c:pt>
                <c:pt idx="179">
                  <c:v>0.032</c:v>
                </c:pt>
                <c:pt idx="180">
                  <c:v>0.032</c:v>
                </c:pt>
                <c:pt idx="181">
                  <c:v>0.032</c:v>
                </c:pt>
                <c:pt idx="182">
                  <c:v>0.032</c:v>
                </c:pt>
                <c:pt idx="183">
                  <c:v>0.032</c:v>
                </c:pt>
                <c:pt idx="184">
                  <c:v>0.033</c:v>
                </c:pt>
                <c:pt idx="185">
                  <c:v>0.032</c:v>
                </c:pt>
                <c:pt idx="186">
                  <c:v>0.032</c:v>
                </c:pt>
                <c:pt idx="187">
                  <c:v>0.033</c:v>
                </c:pt>
                <c:pt idx="188">
                  <c:v>0.033</c:v>
                </c:pt>
                <c:pt idx="189">
                  <c:v>0.033</c:v>
                </c:pt>
                <c:pt idx="190">
                  <c:v>0.033</c:v>
                </c:pt>
                <c:pt idx="191">
                  <c:v>0.033</c:v>
                </c:pt>
                <c:pt idx="192">
                  <c:v>0.034</c:v>
                </c:pt>
                <c:pt idx="193">
                  <c:v>0.033</c:v>
                </c:pt>
                <c:pt idx="194">
                  <c:v>0.033</c:v>
                </c:pt>
                <c:pt idx="195">
                  <c:v>0.034</c:v>
                </c:pt>
                <c:pt idx="196">
                  <c:v>0.034</c:v>
                </c:pt>
                <c:pt idx="197">
                  <c:v>0.033</c:v>
                </c:pt>
                <c:pt idx="198">
                  <c:v>0.034</c:v>
                </c:pt>
                <c:pt idx="199">
                  <c:v>0.035</c:v>
                </c:pt>
                <c:pt idx="200">
                  <c:v>0.034</c:v>
                </c:pt>
                <c:pt idx="201">
                  <c:v>0.035</c:v>
                </c:pt>
                <c:pt idx="202">
                  <c:v>0.034</c:v>
                </c:pt>
                <c:pt idx="203">
                  <c:v>0.035</c:v>
                </c:pt>
                <c:pt idx="204">
                  <c:v>0.035</c:v>
                </c:pt>
                <c:pt idx="205">
                  <c:v>0.035</c:v>
                </c:pt>
                <c:pt idx="206">
                  <c:v>0.035</c:v>
                </c:pt>
                <c:pt idx="207">
                  <c:v>0.035</c:v>
                </c:pt>
                <c:pt idx="208">
                  <c:v>0.035</c:v>
                </c:pt>
                <c:pt idx="209">
                  <c:v>0.035</c:v>
                </c:pt>
                <c:pt idx="210">
                  <c:v>0.035</c:v>
                </c:pt>
                <c:pt idx="211">
                  <c:v>0.036</c:v>
                </c:pt>
                <c:pt idx="212">
                  <c:v>0.036</c:v>
                </c:pt>
                <c:pt idx="213">
                  <c:v>0.036</c:v>
                </c:pt>
                <c:pt idx="214">
                  <c:v>0.036</c:v>
                </c:pt>
                <c:pt idx="215">
                  <c:v>0.035</c:v>
                </c:pt>
                <c:pt idx="216">
                  <c:v>0.036</c:v>
                </c:pt>
                <c:pt idx="217">
                  <c:v>0.037</c:v>
                </c:pt>
                <c:pt idx="218">
                  <c:v>0.037</c:v>
                </c:pt>
                <c:pt idx="219">
                  <c:v>0.037</c:v>
                </c:pt>
                <c:pt idx="220">
                  <c:v>0.037</c:v>
                </c:pt>
                <c:pt idx="221">
                  <c:v>0.037</c:v>
                </c:pt>
                <c:pt idx="222">
                  <c:v>0.036</c:v>
                </c:pt>
                <c:pt idx="223">
                  <c:v>0.037</c:v>
                </c:pt>
                <c:pt idx="224">
                  <c:v>0.037</c:v>
                </c:pt>
                <c:pt idx="225">
                  <c:v>0.037</c:v>
                </c:pt>
                <c:pt idx="226">
                  <c:v>0.038</c:v>
                </c:pt>
                <c:pt idx="227">
                  <c:v>0.038</c:v>
                </c:pt>
                <c:pt idx="228">
                  <c:v>0.038</c:v>
                </c:pt>
                <c:pt idx="229">
                  <c:v>0.038</c:v>
                </c:pt>
                <c:pt idx="230">
                  <c:v>0.038</c:v>
                </c:pt>
                <c:pt idx="231">
                  <c:v>0.037</c:v>
                </c:pt>
                <c:pt idx="232">
                  <c:v>0.038</c:v>
                </c:pt>
                <c:pt idx="233">
                  <c:v>0.038</c:v>
                </c:pt>
                <c:pt idx="234">
                  <c:v>0.039</c:v>
                </c:pt>
                <c:pt idx="235">
                  <c:v>0.039</c:v>
                </c:pt>
                <c:pt idx="236">
                  <c:v>0.039</c:v>
                </c:pt>
                <c:pt idx="237">
                  <c:v>0.039</c:v>
                </c:pt>
                <c:pt idx="238">
                  <c:v>0.04</c:v>
                </c:pt>
                <c:pt idx="239">
                  <c:v>0.039</c:v>
                </c:pt>
                <c:pt idx="240">
                  <c:v>0.039</c:v>
                </c:pt>
                <c:pt idx="241">
                  <c:v>0.04</c:v>
                </c:pt>
                <c:pt idx="242">
                  <c:v>0.04</c:v>
                </c:pt>
                <c:pt idx="243">
                  <c:v>0.039</c:v>
                </c:pt>
                <c:pt idx="244">
                  <c:v>0.04</c:v>
                </c:pt>
                <c:pt idx="245">
                  <c:v>0.041</c:v>
                </c:pt>
                <c:pt idx="246">
                  <c:v>0.04</c:v>
                </c:pt>
                <c:pt idx="247">
                  <c:v>0.04</c:v>
                </c:pt>
                <c:pt idx="248">
                  <c:v>0.04</c:v>
                </c:pt>
                <c:pt idx="249">
                  <c:v>0.04</c:v>
                </c:pt>
                <c:pt idx="250">
                  <c:v>0.04</c:v>
                </c:pt>
                <c:pt idx="251">
                  <c:v>0.041</c:v>
                </c:pt>
                <c:pt idx="252">
                  <c:v>0.04</c:v>
                </c:pt>
                <c:pt idx="253">
                  <c:v>0.041</c:v>
                </c:pt>
                <c:pt idx="254">
                  <c:v>0.041</c:v>
                </c:pt>
                <c:pt idx="255">
                  <c:v>0.041</c:v>
                </c:pt>
                <c:pt idx="256">
                  <c:v>0.041</c:v>
                </c:pt>
                <c:pt idx="257">
                  <c:v>0.041</c:v>
                </c:pt>
                <c:pt idx="258">
                  <c:v>0.041</c:v>
                </c:pt>
                <c:pt idx="259">
                  <c:v>0.042</c:v>
                </c:pt>
                <c:pt idx="260">
                  <c:v>0.042</c:v>
                </c:pt>
                <c:pt idx="261">
                  <c:v>0.042</c:v>
                </c:pt>
                <c:pt idx="262">
                  <c:v>0.041</c:v>
                </c:pt>
                <c:pt idx="263">
                  <c:v>0.041</c:v>
                </c:pt>
                <c:pt idx="264">
                  <c:v>0.042</c:v>
                </c:pt>
                <c:pt idx="265">
                  <c:v>0.043</c:v>
                </c:pt>
                <c:pt idx="266">
                  <c:v>0.042</c:v>
                </c:pt>
                <c:pt idx="267">
                  <c:v>0.043</c:v>
                </c:pt>
                <c:pt idx="268">
                  <c:v>0.043</c:v>
                </c:pt>
                <c:pt idx="269">
                  <c:v>0.043</c:v>
                </c:pt>
                <c:pt idx="270">
                  <c:v>0.043</c:v>
                </c:pt>
                <c:pt idx="271">
                  <c:v>0.043</c:v>
                </c:pt>
                <c:pt idx="272">
                  <c:v>0.043</c:v>
                </c:pt>
                <c:pt idx="273">
                  <c:v>0.044</c:v>
                </c:pt>
                <c:pt idx="274">
                  <c:v>0.044</c:v>
                </c:pt>
                <c:pt idx="275">
                  <c:v>0.043</c:v>
                </c:pt>
                <c:pt idx="276">
                  <c:v>0.043</c:v>
                </c:pt>
                <c:pt idx="277">
                  <c:v>0.044</c:v>
                </c:pt>
                <c:pt idx="278">
                  <c:v>0.044</c:v>
                </c:pt>
                <c:pt idx="279">
                  <c:v>0.044</c:v>
                </c:pt>
                <c:pt idx="280">
                  <c:v>0.044</c:v>
                </c:pt>
                <c:pt idx="281">
                  <c:v>0.045</c:v>
                </c:pt>
                <c:pt idx="282">
                  <c:v>0.044</c:v>
                </c:pt>
                <c:pt idx="283">
                  <c:v>0.044</c:v>
                </c:pt>
                <c:pt idx="284">
                  <c:v>0.044</c:v>
                </c:pt>
                <c:pt idx="285">
                  <c:v>0.044</c:v>
                </c:pt>
                <c:pt idx="286">
                  <c:v>0.045</c:v>
                </c:pt>
                <c:pt idx="287">
                  <c:v>0.045</c:v>
                </c:pt>
              </c:numCache>
            </c:numRef>
          </c:yVal>
          <c:smooth val="1"/>
        </c:ser>
        <c:axId val="18642164"/>
        <c:axId val="73656671"/>
      </c:scatterChart>
      <c:valAx>
        <c:axId val="18642164"/>
        <c:scaling>
          <c:orientation val="minMax"/>
          <c:max val="250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Substrate Conc./ss.sss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3656671"/>
        <c:crosses val="autoZero"/>
        <c:crossBetween val="midCat"/>
      </c:valAx>
      <c:valAx>
        <c:axId val="73656671"/>
        <c:scaling>
          <c:orientation val="minMax"/>
          <c:max val="0.025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864216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S, V og S/V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Sheet2!$S$49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Sheet2!$R$50:$R$53</c:f>
              <c:numCache>
                <c:formatCode>General</c:formatCode>
                <c:ptCount val="4"/>
                <c:pt idx="0">
                  <c:v>1.84977443246243</c:v>
                </c:pt>
                <c:pt idx="1">
                  <c:v>3.69954886492485</c:v>
                </c:pt>
                <c:pt idx="2">
                  <c:v>5.54932329738728</c:v>
                </c:pt>
                <c:pt idx="3">
                  <c:v>7.3990977298497</c:v>
                </c:pt>
              </c:numCache>
            </c:numRef>
          </c:xVal>
          <c:yVal>
            <c:numRef>
              <c:f>Sheet2!$S$50:$S$53</c:f>
              <c:numCache>
                <c:formatCode>General</c:formatCode>
                <c:ptCount val="4"/>
                <c:pt idx="0">
                  <c:v>4.36</c:v>
                </c:pt>
                <c:pt idx="1">
                  <c:v>9.88</c:v>
                </c:pt>
                <c:pt idx="2">
                  <c:v>8.02</c:v>
                </c:pt>
                <c:pt idx="3">
                  <c:v>9.77</c:v>
                </c:pt>
              </c:numCache>
            </c:numRef>
          </c:yVal>
          <c:smooth val="1"/>
        </c:ser>
        <c:axId val="28754657"/>
        <c:axId val="21992377"/>
      </c:scatterChart>
      <c:valAx>
        <c:axId val="28754657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992377"/>
        <c:crosses val="autoZero"/>
        <c:crossBetween val="midCat"/>
      </c:valAx>
      <c:valAx>
        <c:axId val="2199237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875465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14</xdr:col>
      <xdr:colOff>377640</xdr:colOff>
      <xdr:row>9</xdr:row>
      <xdr:rowOff>171000</xdr:rowOff>
    </xdr:to>
    <xdr:graphicFrame>
      <xdr:nvGraphicFramePr>
        <xdr:cNvPr id="0" name="Chart 1"/>
        <xdr:cNvGraphicFramePr/>
      </xdr:nvGraphicFramePr>
      <xdr:xfrm>
        <a:off x="5080680" y="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377640</xdr:colOff>
      <xdr:row>11</xdr:row>
      <xdr:rowOff>161640</xdr:rowOff>
    </xdr:to>
    <xdr:graphicFrame>
      <xdr:nvGraphicFramePr>
        <xdr:cNvPr id="1" name="Chart 2"/>
        <xdr:cNvGraphicFramePr/>
      </xdr:nvGraphicFramePr>
      <xdr:xfrm>
        <a:off x="5645160" y="333360"/>
        <a:ext cx="3200040" cy="163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</xdr:row>
      <xdr:rowOff>0</xdr:rowOff>
    </xdr:from>
    <xdr:to>
      <xdr:col>16</xdr:col>
      <xdr:colOff>377280</xdr:colOff>
      <xdr:row>13</xdr:row>
      <xdr:rowOff>171000</xdr:rowOff>
    </xdr:to>
    <xdr:graphicFrame>
      <xdr:nvGraphicFramePr>
        <xdr:cNvPr id="2" name="Chart 3"/>
        <xdr:cNvGraphicFramePr/>
      </xdr:nvGraphicFramePr>
      <xdr:xfrm>
        <a:off x="6209640" y="65736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171360</xdr:colOff>
      <xdr:row>47</xdr:row>
      <xdr:rowOff>95400</xdr:rowOff>
    </xdr:from>
    <xdr:to>
      <xdr:col>12</xdr:col>
      <xdr:colOff>109800</xdr:colOff>
      <xdr:row>71</xdr:row>
      <xdr:rowOff>95040</xdr:rowOff>
    </xdr:to>
    <xdr:graphicFrame>
      <xdr:nvGraphicFramePr>
        <xdr:cNvPr id="3" name="Chart 4"/>
        <xdr:cNvGraphicFramePr/>
      </xdr:nvGraphicFramePr>
      <xdr:xfrm>
        <a:off x="3870720" y="7724880"/>
        <a:ext cx="4152600" cy="388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324000</xdr:colOff>
      <xdr:row>0</xdr:row>
      <xdr:rowOff>0</xdr:rowOff>
    </xdr:from>
    <xdr:to>
      <xdr:col>26</xdr:col>
      <xdr:colOff>831240</xdr:colOff>
      <xdr:row>32</xdr:row>
      <xdr:rowOff>37800</xdr:rowOff>
    </xdr:to>
    <xdr:graphicFrame>
      <xdr:nvGraphicFramePr>
        <xdr:cNvPr id="4" name="Chart 5"/>
        <xdr:cNvGraphicFramePr/>
      </xdr:nvGraphicFramePr>
      <xdr:xfrm>
        <a:off x="10291680" y="0"/>
        <a:ext cx="8410320" cy="52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66600</xdr:colOff>
      <xdr:row>85</xdr:row>
      <xdr:rowOff>360</xdr:rowOff>
    </xdr:from>
    <xdr:to>
      <xdr:col>11</xdr:col>
      <xdr:colOff>273240</xdr:colOff>
      <xdr:row>109</xdr:row>
      <xdr:rowOff>123840</xdr:rowOff>
    </xdr:to>
    <xdr:graphicFrame>
      <xdr:nvGraphicFramePr>
        <xdr:cNvPr id="5" name="Chart 6"/>
        <xdr:cNvGraphicFramePr/>
      </xdr:nvGraphicFramePr>
      <xdr:xfrm>
        <a:off x="1094760" y="13763880"/>
        <a:ext cx="8581680" cy="400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457200</xdr:colOff>
      <xdr:row>56</xdr:row>
      <xdr:rowOff>9360</xdr:rowOff>
    </xdr:from>
    <xdr:to>
      <xdr:col>19</xdr:col>
      <xdr:colOff>526680</xdr:colOff>
      <xdr:row>77</xdr:row>
      <xdr:rowOff>142200</xdr:rowOff>
    </xdr:to>
    <xdr:graphicFrame>
      <xdr:nvGraphicFramePr>
        <xdr:cNvPr id="6" name="Chart 7"/>
        <xdr:cNvGraphicFramePr/>
      </xdr:nvGraphicFramePr>
      <xdr:xfrm>
        <a:off x="8731080" y="907704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26" min="1" style="0" width="8"/>
  </cols>
  <sheetData>
    <row r="1" customFormat="false" ht="12.75" hidden="false" customHeight="true" outlineLevel="0" collapsed="false">
      <c r="A1" s="1" t="s">
        <v>0</v>
      </c>
    </row>
    <row r="2" customFormat="false" ht="13.5" hidden="false" customHeight="true" outlineLevel="0" collapsed="false"/>
    <row r="3" customFormat="false" ht="12.75" hidden="false" customHeight="true" outlineLevel="0" collapsed="false">
      <c r="A3" s="2" t="s">
        <v>1</v>
      </c>
      <c r="B3" s="2"/>
    </row>
    <row r="4" customFormat="false" ht="12.75" hidden="false" customHeight="true" outlineLevel="0" collapsed="false">
      <c r="A4" s="3" t="s">
        <v>2</v>
      </c>
      <c r="B4" s="3" t="n">
        <v>0.988370054622216</v>
      </c>
    </row>
    <row r="5" customFormat="false" ht="12.75" hidden="false" customHeight="true" outlineLevel="0" collapsed="false">
      <c r="A5" s="3" t="s">
        <v>3</v>
      </c>
      <c r="B5" s="3" t="n">
        <v>0.976875364873922</v>
      </c>
    </row>
    <row r="6" customFormat="false" ht="12.75" hidden="false" customHeight="true" outlineLevel="0" collapsed="false">
      <c r="A6" s="3" t="s">
        <v>4</v>
      </c>
      <c r="B6" s="3" t="n">
        <v>0.953750729747844</v>
      </c>
    </row>
    <row r="7" customFormat="false" ht="12.75" hidden="false" customHeight="true" outlineLevel="0" collapsed="false">
      <c r="A7" s="3" t="s">
        <v>5</v>
      </c>
      <c r="B7" s="3" t="n">
        <v>13082.1079278751</v>
      </c>
    </row>
    <row r="8" customFormat="false" ht="13.5" hidden="false" customHeight="true" outlineLevel="0" collapsed="false">
      <c r="A8" s="4" t="s">
        <v>6</v>
      </c>
      <c r="B8" s="4" t="n">
        <v>3</v>
      </c>
    </row>
    <row r="9" customFormat="false" ht="12.75" hidden="false" customHeight="true" outlineLevel="0" collapsed="false"/>
    <row r="10" customFormat="false" ht="13.5" hidden="false" customHeight="true" outlineLevel="0" collapsed="false">
      <c r="A10" s="1" t="s">
        <v>7</v>
      </c>
    </row>
    <row r="11" customFormat="false" ht="12.75" hidden="false" customHeight="tru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true" outlineLevel="0" collapsed="false">
      <c r="A12" s="3" t="s">
        <v>13</v>
      </c>
      <c r="B12" s="3" t="n">
        <v>1</v>
      </c>
      <c r="C12" s="3" t="n">
        <v>7229690807.07369</v>
      </c>
      <c r="D12" s="3" t="n">
        <v>7229690807.07369</v>
      </c>
      <c r="E12" s="3" t="n">
        <v>42.2439255602477</v>
      </c>
      <c r="F12" s="3" t="n">
        <v>0.097186459325012</v>
      </c>
    </row>
    <row r="13" customFormat="false" ht="12.75" hidden="false" customHeight="true" outlineLevel="0" collapsed="false">
      <c r="A13" s="3" t="s">
        <v>14</v>
      </c>
      <c r="B13" s="3" t="n">
        <v>1</v>
      </c>
      <c r="C13" s="3" t="n">
        <v>171141547.836572</v>
      </c>
      <c r="D13" s="3" t="n">
        <v>171141547.836572</v>
      </c>
      <c r="E13" s="3"/>
      <c r="F13" s="3"/>
    </row>
    <row r="14" customFormat="false" ht="13.5" hidden="false" customHeight="true" outlineLevel="0" collapsed="false">
      <c r="A14" s="4" t="s">
        <v>15</v>
      </c>
      <c r="B14" s="4" t="n">
        <v>2</v>
      </c>
      <c r="C14" s="4" t="n">
        <v>7400832354.91027</v>
      </c>
      <c r="D14" s="4"/>
      <c r="E14" s="4"/>
      <c r="F14" s="4"/>
    </row>
    <row r="15" customFormat="false" ht="13.5" hidden="false" customHeight="true" outlineLevel="0" collapsed="false"/>
    <row r="16" customFormat="false" ht="12.75" hidden="false" customHeight="tru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true" outlineLevel="0" collapsed="false">
      <c r="A17" s="3" t="s">
        <v>23</v>
      </c>
      <c r="B17" s="3" t="n">
        <v>17635.3636364347</v>
      </c>
      <c r="C17" s="3" t="n">
        <v>15949.9090321997</v>
      </c>
      <c r="D17" s="3" t="n">
        <v>1.10567173774047</v>
      </c>
      <c r="E17" s="3" t="n">
        <v>0.468078439180696</v>
      </c>
      <c r="F17" s="3" t="n">
        <v>-185026.577810795</v>
      </c>
      <c r="G17" s="3" t="n">
        <v>220297.305083664</v>
      </c>
      <c r="H17" s="3" t="n">
        <v>-185026.577810795</v>
      </c>
      <c r="I17" s="3" t="n">
        <v>220297.305083664</v>
      </c>
    </row>
    <row r="18" customFormat="false" ht="13.5" hidden="false" customHeight="true" outlineLevel="0" collapsed="false">
      <c r="A18" s="4" t="s">
        <v>24</v>
      </c>
      <c r="B18" s="4" t="n">
        <v>8854.54663231771</v>
      </c>
      <c r="C18" s="4" t="n">
        <v>1362.33588100391</v>
      </c>
      <c r="D18" s="4" t="n">
        <v>6.49953271860737</v>
      </c>
      <c r="E18" s="4" t="n">
        <v>0.097186459325012</v>
      </c>
      <c r="F18" s="4" t="n">
        <v>-8455.49783189185</v>
      </c>
      <c r="G18" s="4" t="n">
        <v>26164.5910965273</v>
      </c>
      <c r="H18" s="4" t="n">
        <v>-8455.49783189185</v>
      </c>
      <c r="I18" s="4" t="n">
        <v>26164.5910965273</v>
      </c>
    </row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>
      <c r="A22" s="1" t="s">
        <v>25</v>
      </c>
      <c r="F22" s="1" t="s">
        <v>26</v>
      </c>
    </row>
    <row r="23" customFormat="false" ht="13.5" hidden="false" customHeight="true" outlineLevel="0" collapsed="false"/>
    <row r="24" customFormat="false" ht="12.75" hidden="false" customHeight="true" outlineLevel="0" collapsed="false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customFormat="false" ht="12.75" hidden="false" customHeight="true" outlineLevel="0" collapsed="false">
      <c r="A25" s="3" t="n">
        <v>1</v>
      </c>
      <c r="B25" s="3" t="n">
        <v>51875.4321678932</v>
      </c>
      <c r="C25" s="3" t="n">
        <v>-6083.05662562903</v>
      </c>
      <c r="D25" s="3" t="n">
        <v>-0.657595949221422</v>
      </c>
      <c r="F25" s="3" t="n">
        <v>16.6666666666667</v>
      </c>
      <c r="G25" s="3" t="n">
        <v>45792.3755422642</v>
      </c>
    </row>
    <row r="26" customFormat="false" ht="12.75" hidden="false" customHeight="true" outlineLevel="0" collapsed="false">
      <c r="A26" s="3" t="n">
        <v>2</v>
      </c>
      <c r="B26" s="3" t="n">
        <v>103235.534965081</v>
      </c>
      <c r="C26" s="3" t="n">
        <v>10645.349094851</v>
      </c>
      <c r="D26" s="3" t="n">
        <v>1.1507929111375</v>
      </c>
      <c r="F26" s="3" t="n">
        <v>50</v>
      </c>
      <c r="G26" s="3" t="n">
        <v>113880.884059932</v>
      </c>
    </row>
    <row r="27" customFormat="false" ht="13.5" hidden="false" customHeight="true" outlineLevel="0" collapsed="false">
      <c r="A27" s="4" t="n">
        <v>3</v>
      </c>
      <c r="B27" s="4" t="n">
        <v>171715.672027998</v>
      </c>
      <c r="C27" s="4" t="n">
        <v>-4562.29246922184</v>
      </c>
      <c r="D27" s="4" t="n">
        <v>-0.493196961916073</v>
      </c>
      <c r="F27" s="4" t="n">
        <v>83.3333333333333</v>
      </c>
      <c r="G27" s="4" t="n">
        <v>167153.379558776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14.44531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.43"/>
    <col collapsed="false" customWidth="true" hidden="false" outlineLevel="0" max="6" min="4" style="0" width="8"/>
    <col collapsed="false" customWidth="true" hidden="false" outlineLevel="0" max="7" min="7" style="0" width="12.43"/>
    <col collapsed="false" customWidth="true" hidden="false" outlineLevel="0" max="9" min="8" style="0" width="8"/>
    <col collapsed="false" customWidth="true" hidden="false" outlineLevel="0" max="10" min="10" style="0" width="12.43"/>
    <col collapsed="false" customWidth="true" hidden="false" outlineLevel="0" max="11" min="11" style="0" width="8"/>
    <col collapsed="false" customWidth="true" hidden="false" outlineLevel="0" max="12" min="12" style="0" width="10.86"/>
    <col collapsed="false" customWidth="true" hidden="false" outlineLevel="0" max="26" min="13" style="0" width="8"/>
  </cols>
  <sheetData>
    <row r="1" customFormat="false" ht="12.75" hidden="false" customHeight="true" outlineLevel="0" collapsed="false">
      <c r="A1" s="1" t="n">
        <v>9</v>
      </c>
    </row>
    <row r="2" customFormat="false" ht="12.75" hidden="false" customHeight="true" outlineLevel="0" collapsed="false">
      <c r="C2" s="1" t="n">
        <v>285</v>
      </c>
      <c r="D2" s="1" t="s">
        <v>33</v>
      </c>
      <c r="H2" s="1" t="s">
        <v>34</v>
      </c>
      <c r="I2" s="1" t="n">
        <v>7.53</v>
      </c>
    </row>
    <row r="3" customFormat="false" ht="12.75" hidden="false" customHeight="true" outlineLevel="0" collapsed="false"/>
    <row r="4" customFormat="false" ht="12.75" hidden="false" customHeight="true" outlineLevel="0" collapsed="false">
      <c r="C4" s="1" t="s">
        <v>35</v>
      </c>
      <c r="G4" s="1" t="s">
        <v>36</v>
      </c>
      <c r="K4" s="1" t="s">
        <v>37</v>
      </c>
      <c r="L4" s="1" t="s">
        <v>38</v>
      </c>
    </row>
    <row r="5" customFormat="false" ht="12.75" hidden="false" customHeight="true" outlineLevel="0" collapsed="false">
      <c r="G5" s="1" t="s">
        <v>39</v>
      </c>
      <c r="J5" s="1" t="s">
        <v>40</v>
      </c>
      <c r="K5" s="1" t="n">
        <v>1</v>
      </c>
      <c r="L5" s="1" t="n">
        <v>9</v>
      </c>
    </row>
    <row r="6" customFormat="false" ht="12.75" hidden="false" customHeight="true" outlineLevel="0" collapsed="false">
      <c r="K6" s="5"/>
      <c r="L6" s="5"/>
    </row>
    <row r="7" customFormat="false" ht="12.75" hidden="false" customHeight="true" outlineLevel="0" collapsed="false">
      <c r="B7" s="1" t="s">
        <v>41</v>
      </c>
      <c r="C7" s="1" t="n">
        <v>138.17</v>
      </c>
      <c r="F7" s="1" t="s">
        <v>41</v>
      </c>
      <c r="G7" s="1" t="n">
        <v>1054.29</v>
      </c>
    </row>
    <row r="8" customFormat="false" ht="12.75" hidden="false" customHeight="true" outlineLevel="0" collapsed="false">
      <c r="B8" s="1" t="s">
        <v>42</v>
      </c>
      <c r="C8" s="1" t="n">
        <v>0.15335</v>
      </c>
      <c r="F8" s="1" t="s">
        <v>42</v>
      </c>
      <c r="G8" s="1" t="n">
        <v>0.0122</v>
      </c>
      <c r="K8" s="1" t="s">
        <v>43</v>
      </c>
    </row>
    <row r="9" customFormat="false" ht="12.75" hidden="false" customHeight="true" outlineLevel="0" collapsed="false">
      <c r="B9" s="1" t="s">
        <v>44</v>
      </c>
      <c r="C9" s="1" t="n">
        <v>0.06</v>
      </c>
      <c r="F9" s="1" t="s">
        <v>44</v>
      </c>
      <c r="G9" s="1" t="n">
        <v>0.0033</v>
      </c>
      <c r="J9" s="1" t="s">
        <v>45</v>
      </c>
      <c r="K9" s="1" t="n">
        <f aca="false">55*(0.3/10)</f>
        <v>1.65</v>
      </c>
    </row>
    <row r="10" customFormat="false" ht="12.75" hidden="false" customHeight="true" outlineLevel="0" collapsed="false">
      <c r="B10" s="1" t="s">
        <v>46</v>
      </c>
      <c r="C10" s="1" t="n">
        <f aca="false">C8/C7</f>
        <v>0.001109864659</v>
      </c>
      <c r="F10" s="1" t="s">
        <v>46</v>
      </c>
      <c r="G10" s="1" t="n">
        <f aca="false">G8/G7</f>
        <v>1.157176868E-005</v>
      </c>
    </row>
    <row r="11" customFormat="false" ht="12.75" hidden="false" customHeight="true" outlineLevel="0" collapsed="false">
      <c r="B11" s="1" t="s">
        <v>45</v>
      </c>
      <c r="C11" s="1" t="n">
        <f aca="false">C10/C9</f>
        <v>0.01849774432</v>
      </c>
      <c r="F11" s="1" t="s">
        <v>45</v>
      </c>
      <c r="G11" s="1" t="n">
        <f aca="false">G10/G9</f>
        <v>0.003506596569</v>
      </c>
      <c r="K11" s="1" t="s">
        <v>47</v>
      </c>
      <c r="L11" s="1" t="n">
        <v>5.67</v>
      </c>
    </row>
    <row r="12" customFormat="false" ht="12.75" hidden="false" customHeight="true" outlineLevel="0" collapsed="false">
      <c r="B12" s="1" t="s">
        <v>48</v>
      </c>
      <c r="C12" s="1" t="n">
        <f aca="false">C11*1000</f>
        <v>18.49774432</v>
      </c>
      <c r="F12" s="1" t="s">
        <v>48</v>
      </c>
      <c r="G12" s="1" t="n">
        <f aca="false">G11*1000</f>
        <v>3.506596569</v>
      </c>
    </row>
    <row r="13" customFormat="false" ht="12.75" hidden="false" customHeight="true" outlineLevel="0" collapsed="false">
      <c r="F13" s="1" t="s">
        <v>49</v>
      </c>
      <c r="G13" s="1" t="n">
        <f aca="false">E20*G12/H20</f>
        <v>0.1753298285</v>
      </c>
      <c r="H13" s="1" t="s">
        <v>48</v>
      </c>
      <c r="L13" s="5"/>
    </row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>
      <c r="S16" s="1" t="n">
        <f aca="false">0.1*(C20/H20)</f>
        <v>0.08</v>
      </c>
    </row>
    <row r="17" customFormat="false" ht="12.75" hidden="false" customHeight="true" outlineLevel="0" collapsed="false">
      <c r="S17" s="1" t="n">
        <f aca="false">0.1*(C21/H21)</f>
        <v>0.07</v>
      </c>
    </row>
    <row r="18" customFormat="false" ht="12.75" hidden="false" customHeight="true" outlineLevel="0" collapsed="false">
      <c r="I18" s="1" t="s">
        <v>50</v>
      </c>
      <c r="J18" s="1" t="s">
        <v>50</v>
      </c>
      <c r="K18" s="1" t="s">
        <v>43</v>
      </c>
      <c r="L18" s="1" t="s">
        <v>43</v>
      </c>
      <c r="M18" s="1" t="s">
        <v>51</v>
      </c>
      <c r="S18" s="1" t="n">
        <f aca="false">0.1*(C22/H22)</f>
        <v>0.06</v>
      </c>
    </row>
    <row r="19" customFormat="false" ht="13.5" hidden="false" customHeight="true" outlineLevel="0" collapsed="false">
      <c r="B19" s="6" t="s">
        <v>49</v>
      </c>
      <c r="C19" s="4" t="s">
        <v>52</v>
      </c>
      <c r="D19" s="4" t="s">
        <v>53</v>
      </c>
      <c r="E19" s="4" t="s">
        <v>54</v>
      </c>
      <c r="F19" s="4" t="s">
        <v>55</v>
      </c>
      <c r="G19" s="4" t="s">
        <v>56</v>
      </c>
      <c r="H19" s="4" t="s">
        <v>57</v>
      </c>
      <c r="I19" s="4" t="s">
        <v>45</v>
      </c>
      <c r="J19" s="4" t="s">
        <v>48</v>
      </c>
      <c r="K19" s="4" t="s">
        <v>45</v>
      </c>
      <c r="L19" s="4" t="s">
        <v>48</v>
      </c>
      <c r="M19" s="4" t="s">
        <v>48</v>
      </c>
      <c r="S19" s="1" t="n">
        <f aca="false">0.1*(C23/H23)</f>
        <v>0.05</v>
      </c>
    </row>
    <row r="20" customFormat="false" ht="12.75" hidden="false" customHeight="true" outlineLevel="0" collapsed="false">
      <c r="B20" s="7" t="n">
        <v>1</v>
      </c>
      <c r="C20" s="1" t="n">
        <v>1.6</v>
      </c>
      <c r="D20" s="1" t="n">
        <v>0</v>
      </c>
      <c r="E20" s="1" t="n">
        <v>0.1</v>
      </c>
      <c r="F20" s="1" t="n">
        <v>0.2</v>
      </c>
      <c r="G20" s="1" t="n">
        <v>0.1</v>
      </c>
      <c r="H20" s="1" t="n">
        <f aca="false">SUM(C20:G20)</f>
        <v>2</v>
      </c>
      <c r="I20" s="1" t="n">
        <f aca="false">F20*$C$11/H20</f>
        <v>0.001849774432</v>
      </c>
      <c r="J20" s="8" t="n">
        <f aca="false">I20*1000</f>
        <v>1.849774432</v>
      </c>
      <c r="K20" s="9" t="n">
        <f aca="false">(G20*$K$9)/H20</f>
        <v>0.0825</v>
      </c>
      <c r="L20" s="9" t="n">
        <f aca="false">K20*1000</f>
        <v>82.5</v>
      </c>
      <c r="M20" s="8" t="n">
        <f aca="false">E20*$G$12/H20</f>
        <v>0.17532982845</v>
      </c>
    </row>
    <row r="21" customFormat="false" ht="12.75" hidden="false" customHeight="true" outlineLevel="0" collapsed="false">
      <c r="B21" s="7" t="n">
        <v>2</v>
      </c>
      <c r="C21" s="1" t="n">
        <v>1.4</v>
      </c>
      <c r="D21" s="1" t="n">
        <v>0</v>
      </c>
      <c r="E21" s="1" t="n">
        <v>0.1</v>
      </c>
      <c r="F21" s="1" t="n">
        <v>0.4</v>
      </c>
      <c r="G21" s="1" t="n">
        <v>0.1</v>
      </c>
      <c r="H21" s="1" t="n">
        <f aca="false">SUM(C21:G21)</f>
        <v>2</v>
      </c>
      <c r="I21" s="1" t="n">
        <f aca="false">F21*$C$11/H21</f>
        <v>0.003699548864</v>
      </c>
      <c r="J21" s="8" t="n">
        <f aca="false">I21*1000</f>
        <v>3.699548864</v>
      </c>
      <c r="K21" s="9" t="n">
        <f aca="false">(G21*$K$9)/H21</f>
        <v>0.0825</v>
      </c>
      <c r="L21" s="9" t="n">
        <f aca="false">K21*1000</f>
        <v>82.5</v>
      </c>
      <c r="M21" s="8" t="n">
        <f aca="false">E21*$G$12/H21</f>
        <v>0.17532982845</v>
      </c>
    </row>
    <row r="22" customFormat="false" ht="12.75" hidden="false" customHeight="true" outlineLevel="0" collapsed="false">
      <c r="B22" s="7" t="n">
        <v>3</v>
      </c>
      <c r="C22" s="1" t="n">
        <v>1.2</v>
      </c>
      <c r="D22" s="1" t="n">
        <v>0</v>
      </c>
      <c r="E22" s="1" t="n">
        <v>0.1</v>
      </c>
      <c r="F22" s="1" t="n">
        <v>0.6</v>
      </c>
      <c r="G22" s="1" t="n">
        <v>0.1</v>
      </c>
      <c r="H22" s="1" t="n">
        <f aca="false">SUM(C22:G22)</f>
        <v>2</v>
      </c>
      <c r="I22" s="1" t="n">
        <f aca="false">F22*$C$11/H22</f>
        <v>0.005549323296</v>
      </c>
      <c r="J22" s="8" t="n">
        <f aca="false">I22*1000</f>
        <v>5.549323296</v>
      </c>
      <c r="K22" s="9" t="n">
        <f aca="false">(G22*$K$9)/H22</f>
        <v>0.0825</v>
      </c>
      <c r="L22" s="9" t="n">
        <f aca="false">K22*1000</f>
        <v>82.5</v>
      </c>
      <c r="M22" s="8" t="n">
        <f aca="false">E22*$G$12/H22</f>
        <v>0.17532982845</v>
      </c>
    </row>
    <row r="23" customFormat="false" ht="12.75" hidden="false" customHeight="true" outlineLevel="0" collapsed="false">
      <c r="B23" s="10" t="n">
        <v>4</v>
      </c>
      <c r="C23" s="10" t="n">
        <v>1</v>
      </c>
      <c r="D23" s="10" t="n">
        <v>0</v>
      </c>
      <c r="E23" s="10" t="n">
        <v>0.1</v>
      </c>
      <c r="F23" s="10" t="n">
        <v>0.8</v>
      </c>
      <c r="G23" s="10" t="n">
        <v>0.1</v>
      </c>
      <c r="H23" s="10" t="n">
        <f aca="false">SUM(C23:G23)</f>
        <v>2</v>
      </c>
      <c r="I23" s="10" t="n">
        <f aca="false">F23*$C$11/H23</f>
        <v>0.007399097728</v>
      </c>
      <c r="J23" s="11" t="n">
        <f aca="false">I23*1000</f>
        <v>7.399097728</v>
      </c>
      <c r="K23" s="11" t="n">
        <f aca="false">(G23*$K$9)/H23</f>
        <v>0.0825</v>
      </c>
      <c r="L23" s="11" t="n">
        <f aca="false">K23*1000</f>
        <v>82.5</v>
      </c>
      <c r="M23" s="8" t="n">
        <f aca="false">E23*$G$12/H23</f>
        <v>0.17532982845</v>
      </c>
    </row>
    <row r="24" customFormat="false" ht="12.75" hidden="false" customHeight="true" outlineLevel="0" collapsed="false">
      <c r="B24" s="7" t="n">
        <v>5</v>
      </c>
      <c r="C24" s="1" t="n">
        <v>1.6</v>
      </c>
      <c r="D24" s="3" t="n">
        <v>0.1</v>
      </c>
      <c r="E24" s="3" t="n">
        <v>0</v>
      </c>
      <c r="F24" s="1" t="n">
        <v>0.2</v>
      </c>
      <c r="G24" s="3" t="n">
        <v>0.1</v>
      </c>
      <c r="H24" s="1" t="n">
        <f aca="false">SUM(C24:G24)</f>
        <v>2</v>
      </c>
      <c r="I24" s="1" t="n">
        <f aca="false">F24*$C$11/H24</f>
        <v>0.001849774432</v>
      </c>
      <c r="J24" s="1" t="n">
        <f aca="false">I24*1000</f>
        <v>1.849774432</v>
      </c>
      <c r="K24" s="3" t="n">
        <f aca="false">(G24*$K$9)/H24</f>
        <v>0.0825</v>
      </c>
      <c r="L24" s="3" t="n">
        <f aca="false">K24*1000</f>
        <v>82.5</v>
      </c>
      <c r="M24" s="1" t="n">
        <f aca="false">E24*$G$12/H24</f>
        <v>0</v>
      </c>
    </row>
    <row r="25" customFormat="false" ht="12.75" hidden="false" customHeight="true" outlineLevel="0" collapsed="false">
      <c r="B25" s="7" t="n">
        <v>6</v>
      </c>
      <c r="C25" s="1" t="n">
        <v>1.4</v>
      </c>
      <c r="D25" s="3" t="n">
        <v>0.1</v>
      </c>
      <c r="E25" s="3" t="n">
        <v>0</v>
      </c>
      <c r="F25" s="1" t="n">
        <v>0.4</v>
      </c>
      <c r="G25" s="3" t="n">
        <v>0.1</v>
      </c>
      <c r="H25" s="1" t="n">
        <f aca="false">SUM(C25:G25)</f>
        <v>2</v>
      </c>
      <c r="I25" s="1" t="n">
        <f aca="false">F25*$C$11/H25</f>
        <v>0.003699548864</v>
      </c>
      <c r="J25" s="1" t="n">
        <f aca="false">I25*1000</f>
        <v>3.699548864</v>
      </c>
      <c r="K25" s="3" t="n">
        <f aca="false">(G25*$K$9)/H25</f>
        <v>0.0825</v>
      </c>
      <c r="L25" s="3" t="n">
        <f aca="false">K25*1000</f>
        <v>82.5</v>
      </c>
      <c r="M25" s="1" t="n">
        <f aca="false">E25*$G$12/H25</f>
        <v>0</v>
      </c>
    </row>
    <row r="26" customFormat="false" ht="12.75" hidden="false" customHeight="true" outlineLevel="0" collapsed="false">
      <c r="B26" s="7" t="n">
        <v>7</v>
      </c>
      <c r="C26" s="1" t="n">
        <v>1.2</v>
      </c>
      <c r="D26" s="3" t="n">
        <v>0.1</v>
      </c>
      <c r="E26" s="3" t="n">
        <v>0</v>
      </c>
      <c r="F26" s="1" t="n">
        <v>0.6</v>
      </c>
      <c r="G26" s="3" t="n">
        <v>0.1</v>
      </c>
      <c r="H26" s="1" t="n">
        <f aca="false">SUM(C26:G26)</f>
        <v>2</v>
      </c>
      <c r="I26" s="1" t="n">
        <f aca="false">F26*$C$11/H26</f>
        <v>0.005549323296</v>
      </c>
      <c r="J26" s="1" t="n">
        <f aca="false">I26*1000</f>
        <v>5.549323296</v>
      </c>
      <c r="K26" s="3" t="n">
        <f aca="false">(G26*$K$9)/H26</f>
        <v>0.0825</v>
      </c>
      <c r="L26" s="3" t="n">
        <f aca="false">K26*1000</f>
        <v>82.5</v>
      </c>
      <c r="M26" s="1" t="n">
        <f aca="false">E26*$G$12/H26</f>
        <v>0</v>
      </c>
    </row>
    <row r="27" customFormat="false" ht="13.5" hidden="false" customHeight="true" outlineLevel="0" collapsed="false">
      <c r="B27" s="6" t="n">
        <v>8</v>
      </c>
      <c r="C27" s="4" t="n">
        <v>1</v>
      </c>
      <c r="D27" s="4" t="n">
        <v>0.1</v>
      </c>
      <c r="E27" s="4" t="n">
        <v>0</v>
      </c>
      <c r="F27" s="4" t="n">
        <v>0.8</v>
      </c>
      <c r="G27" s="4" t="n">
        <v>0.1</v>
      </c>
      <c r="H27" s="4" t="n">
        <f aca="false">SUM(C27:G27)</f>
        <v>2</v>
      </c>
      <c r="I27" s="4" t="n">
        <f aca="false">F27*$C$11/H27</f>
        <v>0.007399097728</v>
      </c>
      <c r="J27" s="4" t="n">
        <f aca="false">I27*1000</f>
        <v>7.399097728</v>
      </c>
      <c r="K27" s="4" t="n">
        <f aca="false">(G27*$K$9)/H27</f>
        <v>0.0825</v>
      </c>
      <c r="L27" s="4" t="n">
        <f aca="false">K27*1000</f>
        <v>82.5</v>
      </c>
      <c r="M27" s="4" t="n">
        <f aca="false">E27*$G$12/H27</f>
        <v>0</v>
      </c>
    </row>
    <row r="28" customFormat="false" ht="12.75" hidden="false" customHeight="true" outlineLevel="0" collapsed="false">
      <c r="C28" s="1" t="n">
        <f aca="false">SUM(C20:C27)</f>
        <v>10.4</v>
      </c>
      <c r="D28" s="1" t="n">
        <f aca="false">SUM(D20:D27)</f>
        <v>0.4</v>
      </c>
      <c r="E28" s="1" t="n">
        <f aca="false">SUM(E20:E27)</f>
        <v>0.4</v>
      </c>
      <c r="F28" s="1" t="n">
        <f aca="false">SUM(F20:F27)</f>
        <v>4</v>
      </c>
      <c r="G28" s="1" t="n">
        <f aca="false">SUM(G20:G27)</f>
        <v>0.8</v>
      </c>
      <c r="H28" s="3" t="n">
        <f aca="false">8*2</f>
        <v>16</v>
      </c>
    </row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>
      <c r="I38" s="1" t="s">
        <v>58</v>
      </c>
      <c r="J38" s="12" t="n">
        <v>0.000200818140938275</v>
      </c>
      <c r="K38" s="1" t="s">
        <v>59</v>
      </c>
    </row>
    <row r="39" customFormat="false" ht="12.75" hidden="false" customHeight="true" outlineLevel="0" collapsed="false">
      <c r="H39" s="13"/>
      <c r="I39" s="1" t="s">
        <v>58</v>
      </c>
      <c r="J39" s="1" t="n">
        <f aca="false">J38/I2</f>
        <v>2.666907582E-005</v>
      </c>
      <c r="K39" s="1" t="s">
        <v>60</v>
      </c>
    </row>
    <row r="40" customFormat="false" ht="12.75" hidden="false" customHeight="true" outlineLevel="0" collapsed="false">
      <c r="I40" s="1" t="s">
        <v>61</v>
      </c>
      <c r="J40" s="12" t="n">
        <v>2.35863068341113</v>
      </c>
      <c r="K40" s="1" t="s">
        <v>62</v>
      </c>
    </row>
    <row r="41" customFormat="false" ht="12.75" hidden="false" customHeight="true" outlineLevel="0" collapsed="false">
      <c r="I41" s="1" t="s">
        <v>63</v>
      </c>
      <c r="J41" s="1" t="n">
        <f aca="false">J39/G13</f>
        <v>0.0001521080358</v>
      </c>
      <c r="K41" s="1" t="s">
        <v>64</v>
      </c>
    </row>
    <row r="42" customFormat="false" ht="12.75" hidden="false" customHeight="true" outlineLevel="0" collapsed="false">
      <c r="J42" s="1" t="n">
        <f aca="false">J41/60</f>
        <v>2.53513393E-006</v>
      </c>
      <c r="K42" s="1" t="s">
        <v>65</v>
      </c>
    </row>
    <row r="43" customFormat="false" ht="12.75" hidden="false" customHeight="true" outlineLevel="0" collapsed="false">
      <c r="I43" s="1" t="s">
        <v>66</v>
      </c>
      <c r="J43" s="13" t="n">
        <v>1.43E-009</v>
      </c>
      <c r="K43" s="1" t="s">
        <v>67</v>
      </c>
    </row>
    <row r="44" customFormat="false" ht="12.75" hidden="false" customHeight="true" outlineLevel="0" collapsed="false">
      <c r="J44" s="14" t="n">
        <f aca="false">60*J43</f>
        <v>8.58E-008</v>
      </c>
      <c r="K44" s="1" t="s">
        <v>64</v>
      </c>
    </row>
    <row r="45" customFormat="false" ht="12.75" hidden="false" customHeight="true" outlineLevel="0" collapsed="false">
      <c r="I45" s="1" t="s">
        <v>68</v>
      </c>
      <c r="J45" s="13" t="n">
        <f aca="false">J42/J43</f>
        <v>1772.82093</v>
      </c>
    </row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3.5" hidden="false" customHeight="true" outlineLevel="0" collapsed="false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customFormat="false" ht="12.75" hidden="false" customHeight="true" outlineLevel="0" collapsed="false">
      <c r="B86" s="3"/>
      <c r="C86" s="15" t="s">
        <v>69</v>
      </c>
      <c r="D86" s="16"/>
      <c r="E86" s="16"/>
      <c r="F86" s="16"/>
      <c r="G86" s="16"/>
      <c r="H86" s="16"/>
      <c r="I86" s="16"/>
      <c r="J86" s="16"/>
      <c r="K86" s="16"/>
      <c r="L86" s="17"/>
      <c r="M86" s="3"/>
    </row>
    <row r="87" customFormat="false" ht="12.75" hidden="false" customHeight="true" outlineLevel="0" collapsed="false">
      <c r="B87" s="3"/>
      <c r="C87" s="18" t="s">
        <v>70</v>
      </c>
      <c r="D87" s="3"/>
      <c r="E87" s="3"/>
      <c r="F87" s="3"/>
      <c r="G87" s="3"/>
      <c r="H87" s="3"/>
      <c r="I87" s="3"/>
      <c r="J87" s="3"/>
      <c r="K87" s="3"/>
      <c r="L87" s="12"/>
      <c r="M87" s="3"/>
    </row>
    <row r="88" customFormat="false" ht="12.75" hidden="false" customHeight="true" outlineLevel="0" collapsed="false">
      <c r="B88" s="3"/>
      <c r="C88" s="18" t="s">
        <v>71</v>
      </c>
      <c r="D88" s="3"/>
      <c r="E88" s="3"/>
      <c r="F88" s="3"/>
      <c r="G88" s="3"/>
      <c r="H88" s="3"/>
      <c r="I88" s="3"/>
      <c r="J88" s="3"/>
      <c r="K88" s="3"/>
      <c r="L88" s="12"/>
      <c r="M88" s="3"/>
    </row>
    <row r="89" customFormat="false" ht="13.5" hidden="false" customHeight="true" outlineLevel="0" collapsed="false">
      <c r="B89" s="3"/>
      <c r="C89" s="19" t="s">
        <v>72</v>
      </c>
      <c r="D89" s="4"/>
      <c r="E89" s="4"/>
      <c r="F89" s="4"/>
      <c r="G89" s="4"/>
      <c r="H89" s="4"/>
      <c r="I89" s="4"/>
      <c r="J89" s="4"/>
      <c r="K89" s="4"/>
      <c r="L89" s="20"/>
      <c r="M89" s="3"/>
    </row>
    <row r="90" customFormat="false" ht="12.75" hidden="false" customHeight="true" outlineLevel="0" collapsed="false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2.75" hidden="false" customHeight="true" outlineLevel="0" collapsed="false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customFormat="false" ht="12.75" hidden="false" customHeight="true" outlineLevel="0" collapsed="false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customFormat="false" ht="13.5" hidden="false" customHeight="true" outlineLevel="0" collapsed="false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customFormat="false" ht="12.75" hidden="false" customHeight="true" outlineLevel="0" collapsed="false">
      <c r="B94" s="3"/>
      <c r="C94" s="15" t="s">
        <v>73</v>
      </c>
      <c r="D94" s="16"/>
      <c r="E94" s="16"/>
      <c r="F94" s="16"/>
      <c r="G94" s="16"/>
      <c r="H94" s="16" t="s">
        <v>73</v>
      </c>
      <c r="I94" s="16"/>
      <c r="J94" s="17"/>
      <c r="K94" s="21"/>
      <c r="L94" s="3"/>
      <c r="M94" s="3"/>
    </row>
    <row r="95" customFormat="false" ht="12.75" hidden="false" customHeight="true" outlineLevel="0" collapsed="false">
      <c r="B95" s="3"/>
      <c r="C95" s="18" t="s">
        <v>74</v>
      </c>
      <c r="D95" s="3"/>
      <c r="E95" s="3"/>
      <c r="F95" s="3"/>
      <c r="G95" s="3"/>
      <c r="H95" s="3" t="s">
        <v>75</v>
      </c>
      <c r="I95" s="3"/>
      <c r="J95" s="12"/>
      <c r="K95" s="3"/>
      <c r="L95" s="3"/>
      <c r="M95" s="3"/>
    </row>
    <row r="96" customFormat="false" ht="12.75" hidden="false" customHeight="true" outlineLevel="0" collapsed="false">
      <c r="B96" s="3"/>
      <c r="C96" s="18" t="s">
        <v>76</v>
      </c>
      <c r="D96" s="3"/>
      <c r="E96" s="3"/>
      <c r="F96" s="3"/>
      <c r="G96" s="3"/>
      <c r="H96" s="3"/>
      <c r="I96" s="3" t="s">
        <v>77</v>
      </c>
      <c r="J96" s="12" t="s">
        <v>78</v>
      </c>
      <c r="K96" s="3"/>
      <c r="L96" s="3"/>
      <c r="M96" s="3"/>
    </row>
    <row r="97" customFormat="false" ht="12.75" hidden="false" customHeight="true" outlineLevel="0" collapsed="false">
      <c r="B97" s="3"/>
      <c r="C97" s="18" t="s">
        <v>79</v>
      </c>
      <c r="D97" s="3" t="s">
        <v>80</v>
      </c>
      <c r="E97" s="3" t="s">
        <v>81</v>
      </c>
      <c r="F97" s="3" t="s">
        <v>82</v>
      </c>
      <c r="G97" s="3" t="s">
        <v>83</v>
      </c>
      <c r="H97" s="3" t="s">
        <v>84</v>
      </c>
      <c r="I97" s="3"/>
      <c r="J97" s="12"/>
      <c r="K97" s="3"/>
      <c r="L97" s="3"/>
      <c r="M97" s="3"/>
    </row>
    <row r="98" customFormat="false" ht="12.75" hidden="false" customHeight="true" outlineLevel="0" collapsed="false">
      <c r="B98" s="3"/>
      <c r="C98" s="18" t="s">
        <v>85</v>
      </c>
      <c r="D98" s="3" t="n">
        <v>1.84980000025821</v>
      </c>
      <c r="E98" s="3" t="n">
        <v>0</v>
      </c>
      <c r="F98" s="3" t="n">
        <v>8.7815381368E-005</v>
      </c>
      <c r="G98" s="3" t="s">
        <v>86</v>
      </c>
      <c r="H98" s="3"/>
      <c r="I98" s="3" t="s">
        <v>87</v>
      </c>
      <c r="J98" s="12" t="n">
        <v>0.000200818140938275</v>
      </c>
      <c r="K98" s="3"/>
      <c r="L98" s="3"/>
      <c r="M98" s="3"/>
    </row>
    <row r="99" customFormat="false" ht="12.75" hidden="false" customHeight="true" outlineLevel="0" collapsed="false">
      <c r="B99" s="3"/>
      <c r="C99" s="18" t="s">
        <v>88</v>
      </c>
      <c r="D99" s="3" t="n">
        <v>3.696599999816</v>
      </c>
      <c r="E99" s="3" t="n">
        <v>0</v>
      </c>
      <c r="F99" s="3" t="n">
        <v>0.000437091928095</v>
      </c>
      <c r="G99" s="21" t="s">
        <v>89</v>
      </c>
      <c r="H99" s="3"/>
      <c r="I99" s="3" t="s">
        <v>61</v>
      </c>
      <c r="J99" s="12" t="n">
        <v>2.35863068341113</v>
      </c>
      <c r="K99" s="3"/>
      <c r="L99" s="3"/>
      <c r="M99" s="3"/>
    </row>
    <row r="100" customFormat="false" ht="12.75" hidden="false" customHeight="true" outlineLevel="0" collapsed="false">
      <c r="B100" s="3"/>
      <c r="C100" s="18" t="s">
        <v>90</v>
      </c>
      <c r="D100" s="3" t="n">
        <v>5.549299999793</v>
      </c>
      <c r="E100" s="3" t="n">
        <v>0</v>
      </c>
      <c r="F100" s="3" t="n">
        <v>0.000142093899954</v>
      </c>
      <c r="G100" s="3" t="s">
        <v>86</v>
      </c>
      <c r="H100" s="3" t="s">
        <v>91</v>
      </c>
      <c r="I100" s="3"/>
      <c r="J100" s="12"/>
      <c r="L100" s="3"/>
      <c r="M100" s="3"/>
    </row>
    <row r="101" customFormat="false" ht="12.75" hidden="false" customHeight="true" outlineLevel="0" collapsed="false">
      <c r="B101" s="3"/>
      <c r="C101" s="18" t="s">
        <v>92</v>
      </c>
      <c r="D101" s="3" t="n">
        <v>7.39899999972296</v>
      </c>
      <c r="E101" s="3" t="n">
        <v>0</v>
      </c>
      <c r="F101" s="3" t="n">
        <v>0.000151600628319</v>
      </c>
      <c r="G101" s="3" t="s">
        <v>86</v>
      </c>
      <c r="H101" s="3"/>
      <c r="I101" s="3" t="s">
        <v>93</v>
      </c>
      <c r="J101" s="12" t="n">
        <v>164156.121107287</v>
      </c>
      <c r="L101" s="3"/>
      <c r="M101" s="3"/>
    </row>
    <row r="102" customFormat="false" ht="13.5" hidden="false" customHeight="true" outlineLevel="0" collapsed="false">
      <c r="B102" s="3"/>
      <c r="C102" s="19"/>
      <c r="D102" s="4"/>
      <c r="E102" s="4"/>
      <c r="F102" s="4"/>
      <c r="G102" s="4"/>
      <c r="H102" s="4"/>
      <c r="I102" s="4" t="s">
        <v>94</v>
      </c>
      <c r="J102" s="20" t="n">
        <v>0.999792760848688</v>
      </c>
      <c r="L102" s="3"/>
      <c r="M102" s="3"/>
    </row>
    <row r="103" customFormat="false" ht="12.75" hidden="false" customHeight="true" outlineLevel="0" collapsed="false">
      <c r="B103" s="3"/>
      <c r="L103" s="3"/>
      <c r="M103" s="3"/>
    </row>
    <row r="104" customFormat="false" ht="12.75" hidden="false" customHeight="true" outlineLevel="0" collapsed="false">
      <c r="B104" s="3"/>
      <c r="L104" s="3"/>
      <c r="M104" s="3"/>
    </row>
    <row r="105" customFormat="false" ht="12.75" hidden="false" customHeight="true" outlineLevel="0" collapsed="false">
      <c r="B105" s="3"/>
      <c r="L105" s="3"/>
      <c r="M105" s="3"/>
    </row>
    <row r="106" customFormat="false" ht="12.75" hidden="false" customHeight="true" outlineLevel="0" collapsed="false">
      <c r="B106" s="3"/>
      <c r="L106" s="3"/>
      <c r="M106" s="3"/>
    </row>
    <row r="107" customFormat="false" ht="12.75" hidden="false" customHeight="true" outlineLevel="0" collapsed="false">
      <c r="B107" s="3"/>
      <c r="L107" s="3"/>
      <c r="M107" s="3"/>
    </row>
    <row r="108" customFormat="false" ht="12.75" hidden="false" customHeight="true" outlineLevel="0" collapsed="false">
      <c r="B108" s="3"/>
      <c r="L108" s="3"/>
      <c r="M108" s="3"/>
    </row>
    <row r="109" customFormat="false" ht="12.75" hidden="false" customHeight="true" outlineLevel="0" collapsed="false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customFormat="false" ht="12.75" hidden="false" customHeight="true" outlineLevel="0" collapsed="false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customFormat="false" ht="12.75" hidden="false" customHeight="true" outlineLevel="0" collapsed="false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customFormat="false" ht="12.75" hidden="false" customHeight="true" outlineLevel="0" collapsed="false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customFormat="false" ht="12.75" hidden="false" customHeight="true" outlineLevel="0" collapsed="false">
      <c r="B113" s="3"/>
      <c r="C113" s="3"/>
      <c r="D113" s="3"/>
      <c r="E113" s="3"/>
      <c r="F113" s="3"/>
      <c r="G113" s="21"/>
      <c r="H113" s="3"/>
      <c r="I113" s="3"/>
      <c r="J113" s="3"/>
      <c r="K113" s="3"/>
      <c r="L113" s="3"/>
      <c r="M113" s="3"/>
    </row>
    <row r="114" customFormat="false" ht="12.75" hidden="false" customHeight="true" outlineLevel="0" collapsed="false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customFormat="false" ht="12.75" hidden="false" customHeight="true" outlineLevel="0" collapsed="false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customFormat="false" ht="12.75" hidden="false" customHeight="true" outlineLevel="0" collapsed="false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customFormat="false" ht="12.75" hidden="false" customHeight="true" outlineLevel="0" collapsed="false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customFormat="false" ht="12.75" hidden="false" customHeight="true" outlineLevel="0" collapsed="false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customFormat="false" ht="12.75" hidden="false" customHeight="true" outlineLevel="0" collapsed="false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customFormat="false" ht="12.75" hidden="false" customHeight="true" outlineLevel="0" collapsed="false"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2.86"/>
    <col collapsed="false" customWidth="true" hidden="false" outlineLevel="0" max="3" min="3" style="0" width="14.57"/>
    <col collapsed="false" customWidth="true" hidden="false" outlineLevel="0" max="4" min="4" style="0" width="12.71"/>
    <col collapsed="false" customWidth="true" hidden="false" outlineLevel="0" max="5" min="5" style="0" width="14.57"/>
    <col collapsed="false" customWidth="true" hidden="false" outlineLevel="0" max="6" min="6" style="0" width="12.71"/>
    <col collapsed="false" customWidth="true" hidden="false" outlineLevel="0" max="7" min="7" style="0" width="14.57"/>
    <col collapsed="false" customWidth="true" hidden="false" outlineLevel="0" max="8" min="8" style="0" width="12.71"/>
    <col collapsed="false" customWidth="true" hidden="false" outlineLevel="0" max="26" min="9" style="0" width="8"/>
  </cols>
  <sheetData>
    <row r="1" customFormat="false" ht="12.75" hidden="false" customHeight="true" outlineLevel="0" collapsed="false">
      <c r="A1" s="1" t="s">
        <v>95</v>
      </c>
      <c r="B1" s="1" t="s">
        <v>96</v>
      </c>
    </row>
    <row r="2" customFormat="false" ht="12.75" hidden="false" customHeight="true" outlineLevel="0" collapsed="false">
      <c r="A2" s="1" t="s">
        <v>97</v>
      </c>
      <c r="B2" s="1" t="n">
        <v>161008</v>
      </c>
    </row>
    <row r="3" customFormat="false" ht="12.75" hidden="false" customHeight="true" outlineLevel="0" collapsed="false">
      <c r="A3" s="1" t="s">
        <v>79</v>
      </c>
      <c r="B3" s="1" t="s">
        <v>85</v>
      </c>
      <c r="C3" s="1" t="s">
        <v>79</v>
      </c>
      <c r="D3" s="1" t="s">
        <v>88</v>
      </c>
      <c r="E3" s="1" t="s">
        <v>79</v>
      </c>
      <c r="F3" s="1" t="s">
        <v>90</v>
      </c>
      <c r="G3" s="1" t="s">
        <v>79</v>
      </c>
      <c r="H3" s="1" t="s">
        <v>92</v>
      </c>
    </row>
    <row r="4" customFormat="false" ht="12.75" hidden="false" customHeight="true" outlineLevel="0" collapsed="false">
      <c r="A4" s="1" t="s">
        <v>98</v>
      </c>
      <c r="B4" s="1" t="s">
        <v>99</v>
      </c>
      <c r="C4" s="1" t="s">
        <v>98</v>
      </c>
      <c r="D4" s="1" t="s">
        <v>99</v>
      </c>
      <c r="E4" s="1" t="s">
        <v>98</v>
      </c>
      <c r="F4" s="1" t="s">
        <v>99</v>
      </c>
      <c r="G4" s="1" t="s">
        <v>98</v>
      </c>
      <c r="H4" s="1" t="s">
        <v>99</v>
      </c>
      <c r="W4" s="1" t="n">
        <f aca="false">1500/60/60</f>
        <v>0.4166666667</v>
      </c>
    </row>
    <row r="5" customFormat="false" ht="12.75" hidden="false" customHeight="true" outlineLevel="0" collapsed="false">
      <c r="A5" s="1" t="s">
        <v>100</v>
      </c>
      <c r="B5" s="1" t="s">
        <v>101</v>
      </c>
      <c r="C5" s="1" t="s">
        <v>100</v>
      </c>
      <c r="D5" s="1" t="s">
        <v>101</v>
      </c>
      <c r="E5" s="1" t="s">
        <v>100</v>
      </c>
      <c r="F5" s="1" t="s">
        <v>101</v>
      </c>
      <c r="G5" s="1" t="s">
        <v>100</v>
      </c>
      <c r="H5" s="1" t="s">
        <v>101</v>
      </c>
      <c r="W5" s="22" t="n">
        <v>90</v>
      </c>
    </row>
    <row r="6" customFormat="false" ht="12.75" hidden="false" customHeight="true" outlineLevel="0" collapsed="false">
      <c r="A6" s="1" t="s">
        <v>102</v>
      </c>
      <c r="B6" s="23" t="s">
        <v>103</v>
      </c>
      <c r="C6" s="1" t="s">
        <v>102</v>
      </c>
      <c r="D6" s="23" t="s">
        <v>103</v>
      </c>
      <c r="E6" s="1" t="s">
        <v>102</v>
      </c>
      <c r="F6" s="23" t="s">
        <v>103</v>
      </c>
      <c r="G6" s="1" t="s">
        <v>102</v>
      </c>
      <c r="H6" s="23" t="s">
        <v>103</v>
      </c>
    </row>
    <row r="7" customFormat="false" ht="12.75" hidden="false" customHeight="true" outlineLevel="0" collapsed="false">
      <c r="A7" s="1" t="s">
        <v>104</v>
      </c>
      <c r="B7" s="1" t="s">
        <v>105</v>
      </c>
      <c r="C7" s="1" t="s">
        <v>104</v>
      </c>
      <c r="D7" s="1" t="s">
        <v>106</v>
      </c>
      <c r="E7" s="1" t="s">
        <v>104</v>
      </c>
      <c r="F7" s="1" t="s">
        <v>107</v>
      </c>
      <c r="G7" s="1" t="s">
        <v>104</v>
      </c>
      <c r="H7" s="1" t="s">
        <v>108</v>
      </c>
    </row>
    <row r="8" customFormat="false" ht="12.75" hidden="false" customHeight="true" outlineLevel="0" collapsed="false"/>
    <row r="9" customFormat="false" ht="12.75" hidden="false" customHeight="true" outlineLevel="0" collapsed="false">
      <c r="A9" s="1" t="s">
        <v>109</v>
      </c>
      <c r="B9" s="1" t="s">
        <v>110</v>
      </c>
      <c r="C9" s="1" t="s">
        <v>109</v>
      </c>
      <c r="D9" s="1" t="s">
        <v>111</v>
      </c>
      <c r="E9" s="1" t="s">
        <v>109</v>
      </c>
      <c r="F9" s="1" t="s">
        <v>112</v>
      </c>
      <c r="G9" s="1" t="s">
        <v>109</v>
      </c>
      <c r="H9" s="1" t="s">
        <v>113</v>
      </c>
    </row>
    <row r="10" customFormat="false" ht="12.75" hidden="false" customHeight="true" outlineLevel="0" collapsed="false">
      <c r="A10" s="1" t="s">
        <v>114</v>
      </c>
      <c r="B10" s="1" t="s">
        <v>115</v>
      </c>
      <c r="C10" s="1" t="s">
        <v>114</v>
      </c>
      <c r="D10" s="1" t="s">
        <v>115</v>
      </c>
      <c r="E10" s="1" t="s">
        <v>114</v>
      </c>
      <c r="F10" s="1" t="s">
        <v>115</v>
      </c>
      <c r="G10" s="1" t="s">
        <v>114</v>
      </c>
      <c r="H10" s="1" t="s">
        <v>115</v>
      </c>
    </row>
    <row r="11" customFormat="false" ht="12.75" hidden="false" customHeight="true" outlineLevel="0" collapsed="false">
      <c r="A11" s="1" t="n">
        <v>0</v>
      </c>
      <c r="B11" s="1" t="n">
        <v>0</v>
      </c>
      <c r="C11" s="1" t="n">
        <v>0</v>
      </c>
      <c r="D11" s="1" t="n">
        <v>0.006</v>
      </c>
      <c r="E11" s="1" t="n">
        <v>0</v>
      </c>
      <c r="F11" s="1" t="n">
        <v>0.004</v>
      </c>
      <c r="G11" s="1" t="n">
        <v>0</v>
      </c>
      <c r="H11" s="1" t="n">
        <v>0.005</v>
      </c>
    </row>
    <row r="12" customFormat="false" ht="12.75" hidden="false" customHeight="true" outlineLevel="0" collapsed="false">
      <c r="A12" s="1" t="n">
        <v>49</v>
      </c>
      <c r="B12" s="1" t="n">
        <v>0</v>
      </c>
      <c r="C12" s="1" t="n">
        <v>49</v>
      </c>
      <c r="D12" s="1" t="n">
        <v>0.006</v>
      </c>
      <c r="E12" s="1" t="n">
        <v>49</v>
      </c>
      <c r="F12" s="1" t="n">
        <v>0.004</v>
      </c>
      <c r="G12" s="1" t="n">
        <v>49</v>
      </c>
      <c r="H12" s="1" t="n">
        <v>0.006</v>
      </c>
    </row>
    <row r="13" customFormat="false" ht="12.75" hidden="false" customHeight="true" outlineLevel="0" collapsed="false">
      <c r="A13" s="1" t="n">
        <v>98</v>
      </c>
      <c r="B13" s="1" t="n">
        <v>0</v>
      </c>
      <c r="C13" s="1" t="n">
        <v>98</v>
      </c>
      <c r="D13" s="1" t="n">
        <v>0.007</v>
      </c>
      <c r="E13" s="1" t="n">
        <v>98</v>
      </c>
      <c r="F13" s="1" t="n">
        <v>0.004</v>
      </c>
      <c r="G13" s="1" t="n">
        <v>98</v>
      </c>
      <c r="H13" s="1" t="n">
        <v>0.006</v>
      </c>
    </row>
    <row r="14" customFormat="false" ht="12.75" hidden="false" customHeight="true" outlineLevel="0" collapsed="false">
      <c r="A14" s="1" t="n">
        <v>147</v>
      </c>
      <c r="B14" s="1" t="n">
        <v>0</v>
      </c>
      <c r="C14" s="1" t="n">
        <v>147</v>
      </c>
      <c r="D14" s="1" t="n">
        <v>0.008</v>
      </c>
      <c r="E14" s="1" t="n">
        <v>147</v>
      </c>
      <c r="F14" s="1" t="n">
        <v>0.005</v>
      </c>
      <c r="G14" s="1" t="n">
        <v>147</v>
      </c>
      <c r="H14" s="1" t="n">
        <v>0.006</v>
      </c>
    </row>
    <row r="15" customFormat="false" ht="12.75" hidden="false" customHeight="true" outlineLevel="0" collapsed="false">
      <c r="A15" s="1" t="n">
        <v>196</v>
      </c>
      <c r="B15" s="1" t="n">
        <v>0.001</v>
      </c>
      <c r="C15" s="1" t="n">
        <v>196</v>
      </c>
      <c r="D15" s="1" t="n">
        <v>0.008</v>
      </c>
      <c r="E15" s="1" t="n">
        <v>196</v>
      </c>
      <c r="F15" s="1" t="n">
        <v>0.005</v>
      </c>
      <c r="G15" s="1" t="n">
        <v>196</v>
      </c>
      <c r="H15" s="1" t="n">
        <v>0.007</v>
      </c>
    </row>
    <row r="16" customFormat="false" ht="12.75" hidden="false" customHeight="true" outlineLevel="0" collapsed="false">
      <c r="A16" s="1" t="n">
        <v>245</v>
      </c>
      <c r="B16" s="1" t="n">
        <v>0</v>
      </c>
      <c r="C16" s="1" t="n">
        <v>245</v>
      </c>
      <c r="D16" s="1" t="n">
        <v>0.009</v>
      </c>
      <c r="E16" s="1" t="n">
        <v>245</v>
      </c>
      <c r="F16" s="1" t="n">
        <v>0.005</v>
      </c>
      <c r="G16" s="1" t="n">
        <v>245</v>
      </c>
      <c r="H16" s="1" t="n">
        <v>0.007</v>
      </c>
    </row>
    <row r="17" customFormat="false" ht="12.75" hidden="false" customHeight="true" outlineLevel="0" collapsed="false">
      <c r="A17" s="1" t="n">
        <v>294</v>
      </c>
      <c r="B17" s="1" t="n">
        <v>0.001</v>
      </c>
      <c r="C17" s="1" t="n">
        <v>294</v>
      </c>
      <c r="D17" s="1" t="n">
        <v>0.008</v>
      </c>
      <c r="E17" s="1" t="n">
        <v>294</v>
      </c>
      <c r="F17" s="1" t="n">
        <v>0.005</v>
      </c>
      <c r="G17" s="1" t="n">
        <v>294</v>
      </c>
      <c r="H17" s="1" t="n">
        <v>0.007</v>
      </c>
    </row>
    <row r="18" customFormat="false" ht="12.75" hidden="false" customHeight="true" outlineLevel="0" collapsed="false">
      <c r="A18" s="1" t="n">
        <v>343</v>
      </c>
      <c r="B18" s="1" t="n">
        <v>0.001</v>
      </c>
      <c r="C18" s="1" t="n">
        <v>343</v>
      </c>
      <c r="D18" s="1" t="n">
        <v>0.009</v>
      </c>
      <c r="E18" s="1" t="n">
        <v>343</v>
      </c>
      <c r="F18" s="1" t="n">
        <v>0.006</v>
      </c>
      <c r="G18" s="1" t="n">
        <v>343</v>
      </c>
      <c r="H18" s="1" t="n">
        <v>0.008</v>
      </c>
    </row>
    <row r="19" customFormat="false" ht="12.75" hidden="false" customHeight="true" outlineLevel="0" collapsed="false">
      <c r="A19" s="1" t="n">
        <v>392</v>
      </c>
      <c r="B19" s="1" t="n">
        <v>0.001</v>
      </c>
      <c r="C19" s="1" t="n">
        <v>392</v>
      </c>
      <c r="D19" s="1" t="n">
        <v>0.009</v>
      </c>
      <c r="E19" s="1" t="n">
        <v>392</v>
      </c>
      <c r="F19" s="1" t="n">
        <v>0.005</v>
      </c>
      <c r="G19" s="1" t="n">
        <v>392</v>
      </c>
      <c r="H19" s="1" t="n">
        <v>0.008</v>
      </c>
    </row>
    <row r="20" customFormat="false" ht="12.75" hidden="false" customHeight="true" outlineLevel="0" collapsed="false">
      <c r="A20" s="1" t="n">
        <v>441</v>
      </c>
      <c r="B20" s="1" t="n">
        <v>0.001</v>
      </c>
      <c r="C20" s="1" t="n">
        <v>441</v>
      </c>
      <c r="D20" s="1" t="n">
        <v>0.01</v>
      </c>
      <c r="E20" s="1" t="n">
        <v>441</v>
      </c>
      <c r="F20" s="1" t="n">
        <v>0.006</v>
      </c>
      <c r="G20" s="1" t="n">
        <v>441</v>
      </c>
      <c r="H20" s="1" t="n">
        <v>0.007</v>
      </c>
    </row>
    <row r="21" customFormat="false" ht="12.75" hidden="false" customHeight="true" outlineLevel="0" collapsed="false">
      <c r="A21" s="1" t="n">
        <v>490</v>
      </c>
      <c r="B21" s="1" t="n">
        <v>0.002</v>
      </c>
      <c r="C21" s="1" t="n">
        <v>490</v>
      </c>
      <c r="D21" s="1" t="n">
        <v>0.01</v>
      </c>
      <c r="E21" s="1" t="n">
        <v>490</v>
      </c>
      <c r="F21" s="1" t="n">
        <v>0.007</v>
      </c>
      <c r="G21" s="1" t="n">
        <v>490</v>
      </c>
      <c r="H21" s="1" t="n">
        <v>0.009</v>
      </c>
    </row>
    <row r="22" customFormat="false" ht="12.75" hidden="false" customHeight="true" outlineLevel="0" collapsed="false">
      <c r="A22" s="1" t="n">
        <v>539</v>
      </c>
      <c r="B22" s="1" t="n">
        <v>0.001</v>
      </c>
      <c r="C22" s="1" t="n">
        <v>539</v>
      </c>
      <c r="D22" s="1" t="n">
        <v>0.011</v>
      </c>
      <c r="E22" s="1" t="n">
        <v>539</v>
      </c>
      <c r="F22" s="1" t="n">
        <v>0.007</v>
      </c>
      <c r="G22" s="1" t="n">
        <v>539</v>
      </c>
      <c r="H22" s="1" t="n">
        <v>0.009</v>
      </c>
    </row>
    <row r="23" customFormat="false" ht="12.75" hidden="false" customHeight="true" outlineLevel="0" collapsed="false">
      <c r="A23" s="1" t="n">
        <v>588</v>
      </c>
      <c r="B23" s="1" t="n">
        <v>0.002</v>
      </c>
      <c r="C23" s="1" t="n">
        <v>588</v>
      </c>
      <c r="D23" s="1" t="n">
        <v>0.011</v>
      </c>
      <c r="E23" s="1" t="n">
        <v>588</v>
      </c>
      <c r="F23" s="1" t="n">
        <v>0.007</v>
      </c>
      <c r="G23" s="1" t="n">
        <v>588</v>
      </c>
      <c r="H23" s="1" t="n">
        <v>0.008</v>
      </c>
    </row>
    <row r="24" customFormat="false" ht="12.75" hidden="false" customHeight="true" outlineLevel="0" collapsed="false">
      <c r="A24" s="1" t="n">
        <v>637</v>
      </c>
      <c r="B24" s="1" t="n">
        <v>0.001</v>
      </c>
      <c r="C24" s="1" t="n">
        <v>637</v>
      </c>
      <c r="D24" s="1" t="n">
        <v>0.012</v>
      </c>
      <c r="E24" s="1" t="n">
        <v>637</v>
      </c>
      <c r="F24" s="1" t="n">
        <v>0.007</v>
      </c>
      <c r="G24" s="1" t="n">
        <v>637</v>
      </c>
      <c r="H24" s="1" t="n">
        <v>0.01</v>
      </c>
    </row>
    <row r="25" customFormat="false" ht="12.75" hidden="false" customHeight="true" outlineLevel="0" collapsed="false">
      <c r="A25" s="1" t="n">
        <v>686</v>
      </c>
      <c r="B25" s="1" t="n">
        <v>0.002</v>
      </c>
      <c r="C25" s="1" t="n">
        <v>686</v>
      </c>
      <c r="D25" s="1" t="n">
        <v>0.012</v>
      </c>
      <c r="E25" s="1" t="n">
        <v>686</v>
      </c>
      <c r="F25" s="1" t="n">
        <v>0.008</v>
      </c>
      <c r="G25" s="1" t="n">
        <v>686</v>
      </c>
      <c r="H25" s="1" t="n">
        <v>0.009</v>
      </c>
    </row>
    <row r="26" customFormat="false" ht="12.75" hidden="false" customHeight="true" outlineLevel="0" collapsed="false">
      <c r="A26" s="1" t="n">
        <v>735</v>
      </c>
      <c r="B26" s="1" t="n">
        <v>0.002</v>
      </c>
      <c r="C26" s="1" t="n">
        <v>735</v>
      </c>
      <c r="D26" s="1" t="n">
        <v>0.013</v>
      </c>
      <c r="E26" s="1" t="n">
        <v>735</v>
      </c>
      <c r="F26" s="1" t="n">
        <v>0.008</v>
      </c>
      <c r="G26" s="1" t="n">
        <v>735</v>
      </c>
      <c r="H26" s="1" t="n">
        <v>0.01</v>
      </c>
    </row>
    <row r="27" customFormat="false" ht="12.75" hidden="false" customHeight="true" outlineLevel="0" collapsed="false">
      <c r="A27" s="1" t="n">
        <v>784</v>
      </c>
      <c r="B27" s="1" t="n">
        <v>0.002</v>
      </c>
      <c r="C27" s="1" t="n">
        <v>784</v>
      </c>
      <c r="D27" s="1" t="n">
        <v>0.013</v>
      </c>
      <c r="E27" s="1" t="n">
        <v>784</v>
      </c>
      <c r="F27" s="1" t="n">
        <v>0.008</v>
      </c>
      <c r="G27" s="1" t="n">
        <v>784</v>
      </c>
      <c r="H27" s="1" t="n">
        <v>0.01</v>
      </c>
    </row>
    <row r="28" customFormat="false" ht="12.75" hidden="false" customHeight="true" outlineLevel="0" collapsed="false">
      <c r="A28" s="1" t="n">
        <v>833</v>
      </c>
      <c r="B28" s="1" t="n">
        <v>0.002</v>
      </c>
      <c r="C28" s="1" t="n">
        <v>833</v>
      </c>
      <c r="D28" s="1" t="n">
        <v>0.013</v>
      </c>
      <c r="E28" s="1" t="n">
        <v>833</v>
      </c>
      <c r="F28" s="1" t="n">
        <v>0.008</v>
      </c>
      <c r="G28" s="1" t="n">
        <v>833</v>
      </c>
      <c r="H28" s="1" t="n">
        <v>0.01</v>
      </c>
    </row>
    <row r="29" customFormat="false" ht="12.75" hidden="false" customHeight="true" outlineLevel="0" collapsed="false">
      <c r="A29" s="1" t="n">
        <v>882</v>
      </c>
      <c r="B29" s="1" t="n">
        <v>0.002</v>
      </c>
      <c r="C29" s="1" t="n">
        <v>882</v>
      </c>
      <c r="D29" s="1" t="n">
        <v>0.014</v>
      </c>
      <c r="E29" s="1" t="n">
        <v>882</v>
      </c>
      <c r="F29" s="1" t="n">
        <v>0.008</v>
      </c>
      <c r="G29" s="1" t="n">
        <v>882</v>
      </c>
      <c r="H29" s="1" t="n">
        <v>0.01</v>
      </c>
    </row>
    <row r="30" customFormat="false" ht="12.75" hidden="false" customHeight="true" outlineLevel="0" collapsed="false">
      <c r="A30" s="1" t="n">
        <v>931</v>
      </c>
      <c r="B30" s="1" t="n">
        <v>0.002</v>
      </c>
      <c r="C30" s="1" t="n">
        <v>931</v>
      </c>
      <c r="D30" s="1" t="n">
        <v>0.014</v>
      </c>
      <c r="E30" s="1" t="n">
        <v>931</v>
      </c>
      <c r="F30" s="1" t="n">
        <v>0.009</v>
      </c>
      <c r="G30" s="1" t="n">
        <v>931</v>
      </c>
      <c r="H30" s="1" t="n">
        <v>0.011</v>
      </c>
    </row>
    <row r="31" customFormat="false" ht="12.75" hidden="false" customHeight="true" outlineLevel="0" collapsed="false">
      <c r="A31" s="1" t="n">
        <v>980</v>
      </c>
      <c r="B31" s="1" t="n">
        <v>0.002</v>
      </c>
      <c r="C31" s="1" t="n">
        <v>980</v>
      </c>
      <c r="D31" s="1" t="n">
        <v>0.015</v>
      </c>
      <c r="E31" s="1" t="n">
        <v>980</v>
      </c>
      <c r="F31" s="1" t="n">
        <v>0.008</v>
      </c>
      <c r="G31" s="1" t="n">
        <v>980</v>
      </c>
      <c r="H31" s="1" t="n">
        <v>0.011</v>
      </c>
    </row>
    <row r="32" customFormat="false" ht="12.75" hidden="false" customHeight="true" outlineLevel="0" collapsed="false">
      <c r="A32" s="1" t="n">
        <v>1029</v>
      </c>
      <c r="B32" s="1" t="n">
        <v>0.002</v>
      </c>
      <c r="C32" s="1" t="n">
        <v>1029</v>
      </c>
      <c r="D32" s="1" t="n">
        <v>0.015</v>
      </c>
      <c r="E32" s="1" t="n">
        <v>1029</v>
      </c>
      <c r="F32" s="1" t="n">
        <v>0.009</v>
      </c>
      <c r="G32" s="1" t="n">
        <v>1029</v>
      </c>
      <c r="H32" s="1" t="n">
        <v>0.011</v>
      </c>
    </row>
    <row r="33" customFormat="false" ht="12.75" hidden="false" customHeight="true" outlineLevel="0" collapsed="false">
      <c r="A33" s="1" t="n">
        <v>1078</v>
      </c>
      <c r="B33" s="1" t="n">
        <v>0.003</v>
      </c>
      <c r="C33" s="1" t="n">
        <v>1078</v>
      </c>
      <c r="D33" s="1" t="n">
        <v>0.016</v>
      </c>
      <c r="E33" s="1" t="n">
        <v>1078</v>
      </c>
      <c r="F33" s="1" t="n">
        <v>0.009</v>
      </c>
      <c r="G33" s="1" t="n">
        <v>1078</v>
      </c>
      <c r="H33" s="1" t="n">
        <v>0.011</v>
      </c>
    </row>
    <row r="34" customFormat="false" ht="12.75" hidden="false" customHeight="true" outlineLevel="0" collapsed="false">
      <c r="A34" s="1" t="n">
        <v>1127</v>
      </c>
      <c r="B34" s="1" t="n">
        <v>0.003</v>
      </c>
      <c r="C34" s="1" t="n">
        <v>1127</v>
      </c>
      <c r="D34" s="1" t="n">
        <v>0.016</v>
      </c>
      <c r="E34" s="1" t="n">
        <v>1127</v>
      </c>
      <c r="F34" s="1" t="n">
        <v>0.009</v>
      </c>
      <c r="G34" s="1" t="n">
        <v>1127</v>
      </c>
      <c r="H34" s="1" t="n">
        <v>0.012</v>
      </c>
    </row>
    <row r="35" customFormat="false" ht="12.75" hidden="false" customHeight="true" outlineLevel="0" collapsed="false">
      <c r="A35" s="1" t="n">
        <v>1176</v>
      </c>
      <c r="B35" s="1" t="n">
        <v>0.002</v>
      </c>
      <c r="C35" s="1" t="n">
        <v>1176</v>
      </c>
      <c r="D35" s="1" t="n">
        <v>0.017</v>
      </c>
      <c r="E35" s="1" t="n">
        <v>1176</v>
      </c>
      <c r="F35" s="1" t="n">
        <v>0.009</v>
      </c>
      <c r="G35" s="1" t="n">
        <v>1176</v>
      </c>
      <c r="H35" s="1" t="n">
        <v>0.011</v>
      </c>
    </row>
    <row r="36" customFormat="false" ht="12.75" hidden="false" customHeight="true" outlineLevel="0" collapsed="false">
      <c r="A36" s="1" t="n">
        <v>1225</v>
      </c>
      <c r="B36" s="1" t="n">
        <v>0.003</v>
      </c>
      <c r="C36" s="1" t="n">
        <v>1225</v>
      </c>
      <c r="D36" s="1" t="n">
        <v>0.016</v>
      </c>
      <c r="E36" s="1" t="n">
        <v>1225</v>
      </c>
      <c r="F36" s="1" t="n">
        <v>0.009</v>
      </c>
      <c r="G36" s="1" t="n">
        <v>1225</v>
      </c>
      <c r="H36" s="1" t="n">
        <v>0.011</v>
      </c>
    </row>
    <row r="37" customFormat="false" ht="12.75" hidden="false" customHeight="true" outlineLevel="0" collapsed="false">
      <c r="A37" s="1" t="n">
        <v>1274</v>
      </c>
      <c r="B37" s="1" t="n">
        <v>0.003</v>
      </c>
      <c r="C37" s="1" t="n">
        <v>1274</v>
      </c>
      <c r="D37" s="1" t="n">
        <v>0.018</v>
      </c>
      <c r="E37" s="1" t="n">
        <v>1274</v>
      </c>
      <c r="F37" s="1" t="n">
        <v>0.01</v>
      </c>
      <c r="G37" s="1" t="n">
        <v>1274</v>
      </c>
      <c r="H37" s="1" t="n">
        <v>0.011</v>
      </c>
    </row>
    <row r="38" customFormat="false" ht="12.75" hidden="false" customHeight="true" outlineLevel="0" collapsed="false">
      <c r="A38" s="1" t="n">
        <v>1323</v>
      </c>
      <c r="B38" s="1" t="n">
        <v>0.002</v>
      </c>
      <c r="C38" s="1" t="n">
        <v>1323</v>
      </c>
      <c r="D38" s="1" t="n">
        <v>0.017</v>
      </c>
      <c r="E38" s="1" t="n">
        <v>1323</v>
      </c>
      <c r="F38" s="1" t="n">
        <v>0.01</v>
      </c>
      <c r="G38" s="1" t="n">
        <v>1323</v>
      </c>
      <c r="H38" s="1" t="n">
        <v>0.012</v>
      </c>
    </row>
    <row r="39" customFormat="false" ht="12.75" hidden="false" customHeight="true" outlineLevel="0" collapsed="false">
      <c r="A39" s="1" t="n">
        <v>1372</v>
      </c>
      <c r="B39" s="1" t="n">
        <v>0.002</v>
      </c>
      <c r="C39" s="1" t="n">
        <v>1372</v>
      </c>
      <c r="D39" s="1" t="n">
        <v>0.018</v>
      </c>
      <c r="E39" s="1" t="n">
        <v>1372</v>
      </c>
      <c r="F39" s="1" t="n">
        <v>0.009</v>
      </c>
      <c r="G39" s="1" t="n">
        <v>1372</v>
      </c>
      <c r="H39" s="1" t="n">
        <v>0.013</v>
      </c>
    </row>
    <row r="40" customFormat="false" ht="12.75" hidden="false" customHeight="true" outlineLevel="0" collapsed="false">
      <c r="A40" s="1" t="n">
        <v>1421</v>
      </c>
      <c r="B40" s="1" t="n">
        <v>0.003</v>
      </c>
      <c r="C40" s="1" t="n">
        <v>1421</v>
      </c>
      <c r="D40" s="1" t="n">
        <v>0.019</v>
      </c>
      <c r="E40" s="1" t="n">
        <v>1421</v>
      </c>
      <c r="F40" s="1" t="n">
        <v>0.01</v>
      </c>
      <c r="G40" s="1" t="n">
        <v>1421</v>
      </c>
      <c r="H40" s="1" t="n">
        <v>0.012</v>
      </c>
    </row>
    <row r="41" customFormat="false" ht="12.75" hidden="false" customHeight="true" outlineLevel="0" collapsed="false">
      <c r="A41" s="1" t="n">
        <v>1470</v>
      </c>
      <c r="B41" s="1" t="n">
        <v>0.002</v>
      </c>
      <c r="C41" s="1" t="n">
        <v>1470</v>
      </c>
      <c r="D41" s="1" t="n">
        <v>0.019</v>
      </c>
      <c r="E41" s="1" t="n">
        <v>1470</v>
      </c>
      <c r="F41" s="1" t="n">
        <v>0.01</v>
      </c>
      <c r="G41" s="1" t="n">
        <v>1470</v>
      </c>
      <c r="H41" s="1" t="n">
        <v>0.013</v>
      </c>
    </row>
    <row r="42" customFormat="false" ht="12.75" hidden="false" customHeight="true" outlineLevel="0" collapsed="false">
      <c r="A42" s="1" t="n">
        <v>1519</v>
      </c>
      <c r="B42" s="1" t="n">
        <v>0.003</v>
      </c>
      <c r="C42" s="1" t="n">
        <v>1519</v>
      </c>
      <c r="D42" s="1" t="n">
        <v>0.019</v>
      </c>
      <c r="E42" s="1" t="n">
        <v>1519</v>
      </c>
      <c r="F42" s="1" t="n">
        <v>0.01</v>
      </c>
      <c r="G42" s="1" t="n">
        <v>1519</v>
      </c>
      <c r="H42" s="1" t="n">
        <v>0.013</v>
      </c>
    </row>
    <row r="43" customFormat="false" ht="12.75" hidden="false" customHeight="true" outlineLevel="0" collapsed="false">
      <c r="A43" s="1" t="n">
        <v>1568</v>
      </c>
      <c r="B43" s="1" t="n">
        <v>0.004</v>
      </c>
      <c r="C43" s="1" t="n">
        <v>1568</v>
      </c>
      <c r="D43" s="1" t="n">
        <v>0.019</v>
      </c>
      <c r="E43" s="1" t="n">
        <v>1568</v>
      </c>
      <c r="F43" s="1" t="n">
        <v>0.01</v>
      </c>
      <c r="G43" s="1" t="n">
        <v>1568</v>
      </c>
      <c r="H43" s="1" t="n">
        <v>0.012</v>
      </c>
    </row>
    <row r="44" customFormat="false" ht="12.75" hidden="false" customHeight="true" outlineLevel="0" collapsed="false">
      <c r="A44" s="1" t="n">
        <v>1617</v>
      </c>
      <c r="B44" s="1" t="n">
        <v>0.004</v>
      </c>
      <c r="C44" s="1" t="n">
        <v>1617</v>
      </c>
      <c r="D44" s="1" t="n">
        <v>0.02</v>
      </c>
      <c r="E44" s="1" t="n">
        <v>1617</v>
      </c>
      <c r="F44" s="1" t="n">
        <v>0.01</v>
      </c>
      <c r="G44" s="1" t="n">
        <v>1617</v>
      </c>
      <c r="H44" s="1" t="n">
        <v>0.013</v>
      </c>
    </row>
    <row r="45" customFormat="false" ht="12.75" hidden="false" customHeight="true" outlineLevel="0" collapsed="false">
      <c r="A45" s="1" t="n">
        <v>1666</v>
      </c>
      <c r="B45" s="1" t="n">
        <v>0.003</v>
      </c>
      <c r="C45" s="1" t="n">
        <v>1666</v>
      </c>
      <c r="D45" s="1" t="n">
        <v>0.021</v>
      </c>
      <c r="E45" s="1" t="n">
        <v>1666</v>
      </c>
      <c r="F45" s="1" t="n">
        <v>0.01</v>
      </c>
      <c r="G45" s="1" t="n">
        <v>1666</v>
      </c>
      <c r="H45" s="1" t="n">
        <v>0.013</v>
      </c>
    </row>
    <row r="46" customFormat="false" ht="12.75" hidden="false" customHeight="true" outlineLevel="0" collapsed="false">
      <c r="A46" s="1" t="n">
        <v>1715</v>
      </c>
      <c r="B46" s="1" t="n">
        <v>0.004</v>
      </c>
      <c r="C46" s="1" t="n">
        <v>1715</v>
      </c>
      <c r="D46" s="1" t="n">
        <v>0.02</v>
      </c>
      <c r="E46" s="1" t="n">
        <v>1715</v>
      </c>
      <c r="F46" s="1" t="n">
        <v>0.011</v>
      </c>
      <c r="G46" s="1" t="n">
        <v>1715</v>
      </c>
      <c r="H46" s="1" t="n">
        <v>0.012</v>
      </c>
    </row>
    <row r="47" customFormat="false" ht="12.75" hidden="false" customHeight="true" outlineLevel="0" collapsed="false">
      <c r="A47" s="1" t="n">
        <v>1764</v>
      </c>
      <c r="B47" s="1" t="n">
        <v>0.003</v>
      </c>
      <c r="C47" s="1" t="n">
        <v>1764</v>
      </c>
      <c r="D47" s="1" t="n">
        <v>0.021</v>
      </c>
      <c r="E47" s="1" t="n">
        <v>1764</v>
      </c>
      <c r="F47" s="1" t="n">
        <v>0.011</v>
      </c>
      <c r="G47" s="1" t="n">
        <v>1764</v>
      </c>
      <c r="H47" s="1" t="n">
        <v>0.014</v>
      </c>
    </row>
    <row r="48" customFormat="false" ht="12.75" hidden="false" customHeight="true" outlineLevel="0" collapsed="false">
      <c r="A48" s="1" t="n">
        <v>1813</v>
      </c>
      <c r="B48" s="1" t="n">
        <v>0.003</v>
      </c>
      <c r="C48" s="1" t="n">
        <v>1813</v>
      </c>
      <c r="D48" s="1" t="n">
        <v>0.021</v>
      </c>
      <c r="E48" s="1" t="n">
        <v>1813</v>
      </c>
      <c r="F48" s="1" t="n">
        <v>0.01</v>
      </c>
      <c r="G48" s="1" t="n">
        <v>1813</v>
      </c>
      <c r="H48" s="1" t="n">
        <v>0.013</v>
      </c>
    </row>
    <row r="49" customFormat="false" ht="12.75" hidden="false" customHeight="true" outlineLevel="0" collapsed="false">
      <c r="A49" s="1" t="n">
        <v>1862</v>
      </c>
      <c r="B49" s="1" t="n">
        <v>0.004</v>
      </c>
      <c r="C49" s="1" t="n">
        <v>1862</v>
      </c>
      <c r="D49" s="1" t="n">
        <v>0.022</v>
      </c>
      <c r="E49" s="1" t="n">
        <v>1862</v>
      </c>
      <c r="F49" s="1" t="n">
        <v>0.011</v>
      </c>
      <c r="G49" s="1" t="n">
        <v>1862</v>
      </c>
      <c r="H49" s="1" t="n">
        <v>0.013</v>
      </c>
      <c r="R49" s="22" t="s">
        <v>116</v>
      </c>
      <c r="S49" s="22" t="s">
        <v>82</v>
      </c>
      <c r="T49" s="22" t="s">
        <v>117</v>
      </c>
    </row>
    <row r="50" customFormat="false" ht="12.75" hidden="false" customHeight="true" outlineLevel="0" collapsed="false">
      <c r="A50" s="1" t="n">
        <v>1911</v>
      </c>
      <c r="B50" s="1" t="n">
        <v>0.004</v>
      </c>
      <c r="C50" s="1" t="n">
        <v>1911</v>
      </c>
      <c r="D50" s="1" t="n">
        <v>0.022</v>
      </c>
      <c r="E50" s="1" t="n">
        <v>1911</v>
      </c>
      <c r="F50" s="1" t="n">
        <v>0.011</v>
      </c>
      <c r="G50" s="1" t="n">
        <v>1911</v>
      </c>
      <c r="H50" s="1" t="n">
        <v>0.014</v>
      </c>
      <c r="R50" s="1" t="n">
        <v>1.84977443246243</v>
      </c>
      <c r="S50" s="22" t="n">
        <v>4.36</v>
      </c>
      <c r="T50" s="1" t="n">
        <f aca="false">R50/S50</f>
        <v>0.424260190931749</v>
      </c>
    </row>
    <row r="51" customFormat="false" ht="12.75" hidden="false" customHeight="true" outlineLevel="0" collapsed="false">
      <c r="A51" s="1" t="n">
        <v>1960</v>
      </c>
      <c r="B51" s="1" t="n">
        <v>0.004</v>
      </c>
      <c r="C51" s="1" t="n">
        <v>1960</v>
      </c>
      <c r="D51" s="1" t="n">
        <v>0.023</v>
      </c>
      <c r="E51" s="1" t="n">
        <v>1960</v>
      </c>
      <c r="F51" s="1" t="n">
        <v>0.011</v>
      </c>
      <c r="G51" s="1" t="n">
        <v>1960</v>
      </c>
      <c r="H51" s="1" t="n">
        <v>0.013</v>
      </c>
      <c r="R51" s="1" t="n">
        <v>3.69954886492485</v>
      </c>
      <c r="S51" s="22" t="n">
        <v>9.88</v>
      </c>
      <c r="T51" s="1" t="n">
        <f aca="false">R51/S51</f>
        <v>0.374448265680653</v>
      </c>
    </row>
    <row r="52" customFormat="false" ht="12.75" hidden="false" customHeight="true" outlineLevel="0" collapsed="false">
      <c r="A52" s="1" t="n">
        <v>2009</v>
      </c>
      <c r="B52" s="1" t="n">
        <v>0.003</v>
      </c>
      <c r="C52" s="1" t="n">
        <v>2009</v>
      </c>
      <c r="D52" s="1" t="n">
        <v>0.023</v>
      </c>
      <c r="E52" s="1" t="n">
        <v>2009</v>
      </c>
      <c r="F52" s="1" t="n">
        <v>0.011</v>
      </c>
      <c r="G52" s="1" t="n">
        <v>2009</v>
      </c>
      <c r="H52" s="1" t="n">
        <v>0.013</v>
      </c>
      <c r="R52" s="1" t="n">
        <v>5.54932329738728</v>
      </c>
      <c r="S52" s="22" t="n">
        <v>8.02</v>
      </c>
      <c r="T52" s="1" t="n">
        <f aca="false">R52/S52</f>
        <v>0.691935573240309</v>
      </c>
    </row>
    <row r="53" customFormat="false" ht="12.75" hidden="false" customHeight="true" outlineLevel="0" collapsed="false">
      <c r="A53" s="1" t="n">
        <v>2058</v>
      </c>
      <c r="B53" s="1" t="n">
        <v>0.004</v>
      </c>
      <c r="C53" s="1" t="n">
        <v>2058</v>
      </c>
      <c r="D53" s="1" t="n">
        <v>0.024</v>
      </c>
      <c r="E53" s="1" t="n">
        <v>2058</v>
      </c>
      <c r="F53" s="1" t="n">
        <v>0.012</v>
      </c>
      <c r="G53" s="1" t="n">
        <v>2058</v>
      </c>
      <c r="H53" s="1" t="n">
        <v>0.014</v>
      </c>
      <c r="R53" s="1" t="n">
        <v>7.3990977298497</v>
      </c>
      <c r="S53" s="22" t="n">
        <v>9.77</v>
      </c>
      <c r="T53" s="1" t="n">
        <f aca="false">R53/S53</f>
        <v>0.757328324447257</v>
      </c>
    </row>
    <row r="54" customFormat="false" ht="12.75" hidden="false" customHeight="true" outlineLevel="0" collapsed="false">
      <c r="A54" s="1" t="n">
        <v>2107</v>
      </c>
      <c r="B54" s="1" t="n">
        <v>0.004</v>
      </c>
      <c r="C54" s="1" t="n">
        <v>2107</v>
      </c>
      <c r="D54" s="1" t="n">
        <v>0.024</v>
      </c>
      <c r="E54" s="1" t="n">
        <v>2107</v>
      </c>
      <c r="F54" s="1" t="n">
        <v>0.011</v>
      </c>
      <c r="G54" s="1" t="n">
        <v>2107</v>
      </c>
      <c r="H54" s="1" t="n">
        <v>0.014</v>
      </c>
    </row>
    <row r="55" customFormat="false" ht="12.75" hidden="false" customHeight="true" outlineLevel="0" collapsed="false">
      <c r="A55" s="1" t="n">
        <v>2156</v>
      </c>
      <c r="B55" s="1" t="n">
        <v>0.003</v>
      </c>
      <c r="C55" s="1" t="n">
        <v>2156</v>
      </c>
      <c r="D55" s="1" t="n">
        <v>0.025</v>
      </c>
      <c r="E55" s="1" t="n">
        <v>2156</v>
      </c>
      <c r="F55" s="1" t="n">
        <v>0.012</v>
      </c>
      <c r="G55" s="1" t="n">
        <v>2156</v>
      </c>
      <c r="H55" s="1" t="n">
        <v>0.014</v>
      </c>
    </row>
    <row r="56" customFormat="false" ht="12.75" hidden="false" customHeight="true" outlineLevel="0" collapsed="false">
      <c r="A56" s="1" t="n">
        <v>2205</v>
      </c>
      <c r="B56" s="1" t="n">
        <v>0.004</v>
      </c>
      <c r="C56" s="1" t="n">
        <v>2205</v>
      </c>
      <c r="D56" s="1" t="n">
        <v>0.025</v>
      </c>
      <c r="E56" s="1" t="n">
        <v>2205</v>
      </c>
      <c r="F56" s="1" t="n">
        <v>0.011</v>
      </c>
      <c r="G56" s="1" t="n">
        <v>2205</v>
      </c>
      <c r="H56" s="1" t="n">
        <v>0.014</v>
      </c>
    </row>
    <row r="57" customFormat="false" ht="12.75" hidden="false" customHeight="true" outlineLevel="0" collapsed="false">
      <c r="A57" s="1" t="n">
        <v>2254</v>
      </c>
      <c r="B57" s="1" t="n">
        <v>0.003</v>
      </c>
      <c r="C57" s="1" t="n">
        <v>2254</v>
      </c>
      <c r="D57" s="1" t="n">
        <v>0.026</v>
      </c>
      <c r="E57" s="1" t="n">
        <v>2254</v>
      </c>
      <c r="F57" s="1" t="n">
        <v>0.012</v>
      </c>
      <c r="G57" s="1" t="n">
        <v>2254</v>
      </c>
      <c r="H57" s="1" t="n">
        <v>0.014</v>
      </c>
    </row>
    <row r="58" customFormat="false" ht="12.75" hidden="false" customHeight="true" outlineLevel="0" collapsed="false">
      <c r="A58" s="1" t="n">
        <v>2303</v>
      </c>
      <c r="B58" s="1" t="n">
        <v>0.004</v>
      </c>
      <c r="C58" s="1" t="n">
        <v>2303</v>
      </c>
      <c r="D58" s="1" t="n">
        <v>0.026</v>
      </c>
      <c r="E58" s="1" t="n">
        <v>2303</v>
      </c>
      <c r="F58" s="1" t="n">
        <v>0.011</v>
      </c>
      <c r="G58" s="1" t="n">
        <v>2303</v>
      </c>
      <c r="H58" s="1" t="n">
        <v>0.014</v>
      </c>
    </row>
    <row r="59" customFormat="false" ht="12.75" hidden="false" customHeight="true" outlineLevel="0" collapsed="false">
      <c r="A59" s="1" t="n">
        <v>2352</v>
      </c>
      <c r="B59" s="1" t="n">
        <v>0.005</v>
      </c>
      <c r="C59" s="1" t="n">
        <v>2352</v>
      </c>
      <c r="D59" s="1" t="n">
        <v>0.026</v>
      </c>
      <c r="E59" s="1" t="n">
        <v>2352</v>
      </c>
      <c r="F59" s="1" t="n">
        <v>0.012</v>
      </c>
      <c r="G59" s="1" t="n">
        <v>2352</v>
      </c>
      <c r="H59" s="1" t="n">
        <v>0.014</v>
      </c>
    </row>
    <row r="60" customFormat="false" ht="12.75" hidden="false" customHeight="true" outlineLevel="0" collapsed="false">
      <c r="A60" s="1" t="n">
        <v>2401</v>
      </c>
      <c r="B60" s="1" t="n">
        <v>0.004</v>
      </c>
      <c r="C60" s="1" t="n">
        <v>2401</v>
      </c>
      <c r="D60" s="1" t="n">
        <v>0.027</v>
      </c>
      <c r="E60" s="1" t="n">
        <v>2401</v>
      </c>
      <c r="F60" s="1" t="n">
        <v>0.011</v>
      </c>
      <c r="G60" s="1" t="n">
        <v>2401</v>
      </c>
      <c r="H60" s="1" t="n">
        <v>0.015</v>
      </c>
    </row>
    <row r="61" customFormat="false" ht="12.75" hidden="false" customHeight="true" outlineLevel="0" collapsed="false">
      <c r="A61" s="1" t="n">
        <v>2450</v>
      </c>
      <c r="B61" s="1" t="n">
        <v>0.005</v>
      </c>
      <c r="C61" s="1" t="n">
        <v>2450</v>
      </c>
      <c r="D61" s="1" t="n">
        <v>0.027</v>
      </c>
      <c r="E61" s="1" t="n">
        <v>2450</v>
      </c>
      <c r="F61" s="1" t="n">
        <v>0.012</v>
      </c>
      <c r="G61" s="1" t="n">
        <v>2450</v>
      </c>
      <c r="H61" s="1" t="n">
        <v>0.015</v>
      </c>
    </row>
    <row r="62" customFormat="false" ht="12.75" hidden="false" customHeight="true" outlineLevel="0" collapsed="false">
      <c r="A62" s="1" t="n">
        <v>2499</v>
      </c>
      <c r="B62" s="1" t="n">
        <v>0.005</v>
      </c>
      <c r="C62" s="1" t="n">
        <v>2499</v>
      </c>
      <c r="D62" s="1" t="n">
        <v>0.028</v>
      </c>
      <c r="E62" s="1" t="n">
        <v>2499</v>
      </c>
      <c r="F62" s="1" t="n">
        <v>0.012</v>
      </c>
      <c r="G62" s="1" t="n">
        <v>2499</v>
      </c>
      <c r="H62" s="1" t="n">
        <v>0.015</v>
      </c>
    </row>
    <row r="63" customFormat="false" ht="12.75" hidden="false" customHeight="true" outlineLevel="0" collapsed="false">
      <c r="A63" s="1" t="n">
        <v>2548</v>
      </c>
      <c r="B63" s="1" t="n">
        <v>0.004</v>
      </c>
      <c r="C63" s="1" t="n">
        <v>2548</v>
      </c>
      <c r="D63" s="1" t="n">
        <v>0.028</v>
      </c>
      <c r="E63" s="1" t="n">
        <v>2548</v>
      </c>
      <c r="F63" s="1" t="n">
        <v>0.012</v>
      </c>
      <c r="G63" s="1" t="n">
        <v>2548</v>
      </c>
      <c r="H63" s="1" t="n">
        <v>0.015</v>
      </c>
    </row>
    <row r="64" customFormat="false" ht="12.75" hidden="false" customHeight="true" outlineLevel="0" collapsed="false">
      <c r="A64" s="1" t="n">
        <v>2597</v>
      </c>
      <c r="B64" s="1" t="n">
        <v>0.004</v>
      </c>
      <c r="C64" s="1" t="n">
        <v>2597</v>
      </c>
      <c r="D64" s="1" t="n">
        <v>0.028</v>
      </c>
      <c r="E64" s="1" t="n">
        <v>2597</v>
      </c>
      <c r="F64" s="1" t="n">
        <v>0.012</v>
      </c>
      <c r="G64" s="1" t="n">
        <v>2597</v>
      </c>
      <c r="H64" s="1" t="n">
        <v>0.015</v>
      </c>
    </row>
    <row r="65" customFormat="false" ht="12.75" hidden="false" customHeight="true" outlineLevel="0" collapsed="false">
      <c r="A65" s="1" t="n">
        <v>2646</v>
      </c>
      <c r="B65" s="1" t="n">
        <v>0.005</v>
      </c>
      <c r="C65" s="1" t="n">
        <v>2646</v>
      </c>
      <c r="D65" s="1" t="n">
        <v>0.029</v>
      </c>
      <c r="E65" s="1" t="n">
        <v>2646</v>
      </c>
      <c r="F65" s="1" t="n">
        <v>0.013</v>
      </c>
      <c r="G65" s="1" t="n">
        <v>2646</v>
      </c>
      <c r="H65" s="1" t="n">
        <v>0.015</v>
      </c>
    </row>
    <row r="66" customFormat="false" ht="12.75" hidden="false" customHeight="true" outlineLevel="0" collapsed="false">
      <c r="A66" s="1" t="n">
        <v>2695</v>
      </c>
      <c r="B66" s="1" t="n">
        <v>0.005</v>
      </c>
      <c r="C66" s="1" t="n">
        <v>2695</v>
      </c>
      <c r="D66" s="1" t="n">
        <v>0.029</v>
      </c>
      <c r="E66" s="1" t="n">
        <v>2695</v>
      </c>
      <c r="F66" s="1" t="n">
        <v>0.013</v>
      </c>
      <c r="G66" s="1" t="n">
        <v>2695</v>
      </c>
      <c r="H66" s="1" t="n">
        <v>0.015</v>
      </c>
    </row>
    <row r="67" customFormat="false" ht="12.75" hidden="false" customHeight="true" outlineLevel="0" collapsed="false">
      <c r="A67" s="1" t="n">
        <v>2744</v>
      </c>
      <c r="B67" s="1" t="n">
        <v>0.005</v>
      </c>
      <c r="C67" s="1" t="n">
        <v>2744</v>
      </c>
      <c r="D67" s="1" t="n">
        <v>0.03</v>
      </c>
      <c r="E67" s="1" t="n">
        <v>2744</v>
      </c>
      <c r="F67" s="1" t="n">
        <v>0.012</v>
      </c>
      <c r="G67" s="1" t="n">
        <v>2744</v>
      </c>
      <c r="H67" s="1" t="n">
        <v>0.016</v>
      </c>
    </row>
    <row r="68" customFormat="false" ht="12.75" hidden="false" customHeight="true" outlineLevel="0" collapsed="false">
      <c r="A68" s="1" t="n">
        <v>2793</v>
      </c>
      <c r="B68" s="1" t="n">
        <v>0.005</v>
      </c>
      <c r="C68" s="1" t="n">
        <v>2793</v>
      </c>
      <c r="D68" s="1" t="n">
        <v>0.03</v>
      </c>
      <c r="E68" s="1" t="n">
        <v>2793</v>
      </c>
      <c r="F68" s="1" t="n">
        <v>0.012</v>
      </c>
      <c r="G68" s="1" t="n">
        <v>2793</v>
      </c>
      <c r="H68" s="1" t="n">
        <v>0.015</v>
      </c>
    </row>
    <row r="69" customFormat="false" ht="12.75" hidden="false" customHeight="true" outlineLevel="0" collapsed="false">
      <c r="A69" s="1" t="n">
        <v>2842</v>
      </c>
      <c r="B69" s="1" t="n">
        <v>0.004</v>
      </c>
      <c r="C69" s="1" t="n">
        <v>2842</v>
      </c>
      <c r="D69" s="1" t="n">
        <v>0.03</v>
      </c>
      <c r="E69" s="1" t="n">
        <v>2842</v>
      </c>
      <c r="F69" s="1" t="n">
        <v>0.013</v>
      </c>
      <c r="G69" s="1" t="n">
        <v>2842</v>
      </c>
      <c r="H69" s="1" t="n">
        <v>0.016</v>
      </c>
    </row>
    <row r="70" customFormat="false" ht="12.75" hidden="false" customHeight="true" outlineLevel="0" collapsed="false">
      <c r="A70" s="1" t="n">
        <v>2891</v>
      </c>
      <c r="B70" s="1" t="n">
        <v>0.005</v>
      </c>
      <c r="C70" s="1" t="n">
        <v>2891</v>
      </c>
      <c r="D70" s="1" t="n">
        <v>0.03</v>
      </c>
      <c r="E70" s="1" t="n">
        <v>2891</v>
      </c>
      <c r="F70" s="1" t="n">
        <v>0.014</v>
      </c>
      <c r="G70" s="1" t="n">
        <v>2891</v>
      </c>
      <c r="H70" s="1" t="n">
        <v>0.016</v>
      </c>
    </row>
    <row r="71" customFormat="false" ht="12.75" hidden="false" customHeight="true" outlineLevel="0" collapsed="false">
      <c r="A71" s="1" t="n">
        <v>2940</v>
      </c>
      <c r="B71" s="1" t="n">
        <v>0.005</v>
      </c>
      <c r="C71" s="1" t="n">
        <v>2940</v>
      </c>
      <c r="D71" s="1" t="n">
        <v>0.031</v>
      </c>
      <c r="E71" s="1" t="n">
        <v>2940</v>
      </c>
      <c r="F71" s="1" t="n">
        <v>0.012</v>
      </c>
      <c r="G71" s="1" t="n">
        <v>2940</v>
      </c>
      <c r="H71" s="1" t="n">
        <v>0.016</v>
      </c>
    </row>
    <row r="72" customFormat="false" ht="12.75" hidden="false" customHeight="true" outlineLevel="0" collapsed="false">
      <c r="A72" s="1" t="n">
        <v>2989</v>
      </c>
      <c r="B72" s="1" t="n">
        <v>0.005</v>
      </c>
      <c r="C72" s="1" t="n">
        <v>2989</v>
      </c>
      <c r="D72" s="1" t="n">
        <v>0.031</v>
      </c>
      <c r="E72" s="1" t="n">
        <v>2989</v>
      </c>
      <c r="F72" s="1" t="n">
        <v>0.013</v>
      </c>
      <c r="G72" s="1" t="n">
        <v>2989</v>
      </c>
      <c r="H72" s="1" t="n">
        <v>0.016</v>
      </c>
    </row>
    <row r="73" customFormat="false" ht="12.75" hidden="false" customHeight="true" outlineLevel="0" collapsed="false">
      <c r="A73" s="1" t="n">
        <v>3038</v>
      </c>
      <c r="B73" s="1" t="n">
        <v>0.004</v>
      </c>
      <c r="C73" s="1" t="n">
        <v>3038</v>
      </c>
      <c r="D73" s="1" t="n">
        <v>0.032</v>
      </c>
      <c r="E73" s="1" t="n">
        <v>3038</v>
      </c>
      <c r="F73" s="1" t="n">
        <v>0.013</v>
      </c>
      <c r="G73" s="1" t="n">
        <v>3038</v>
      </c>
      <c r="H73" s="1" t="n">
        <v>0.016</v>
      </c>
    </row>
    <row r="74" customFormat="false" ht="12.75" hidden="false" customHeight="true" outlineLevel="0" collapsed="false">
      <c r="A74" s="1" t="n">
        <v>3087</v>
      </c>
      <c r="B74" s="1" t="n">
        <v>0.005</v>
      </c>
      <c r="C74" s="1" t="n">
        <v>3087</v>
      </c>
      <c r="D74" s="1" t="n">
        <v>0.033</v>
      </c>
      <c r="E74" s="1" t="n">
        <v>3087</v>
      </c>
      <c r="F74" s="1" t="n">
        <v>0.013</v>
      </c>
      <c r="G74" s="1" t="n">
        <v>3087</v>
      </c>
      <c r="H74" s="1" t="n">
        <v>0.016</v>
      </c>
    </row>
    <row r="75" customFormat="false" ht="12.75" hidden="false" customHeight="true" outlineLevel="0" collapsed="false">
      <c r="A75" s="1" t="n">
        <v>3136</v>
      </c>
      <c r="B75" s="1" t="n">
        <v>0.005</v>
      </c>
      <c r="C75" s="1" t="n">
        <v>3136</v>
      </c>
      <c r="D75" s="1" t="n">
        <v>0.033</v>
      </c>
      <c r="E75" s="1" t="n">
        <v>3136</v>
      </c>
      <c r="F75" s="1" t="n">
        <v>0.014</v>
      </c>
      <c r="G75" s="1" t="n">
        <v>3136</v>
      </c>
      <c r="H75" s="1" t="n">
        <v>0.016</v>
      </c>
    </row>
    <row r="76" customFormat="false" ht="12.75" hidden="false" customHeight="true" outlineLevel="0" collapsed="false">
      <c r="A76" s="1" t="n">
        <v>3185</v>
      </c>
      <c r="B76" s="1" t="n">
        <v>0.005</v>
      </c>
      <c r="C76" s="1" t="n">
        <v>3185</v>
      </c>
      <c r="D76" s="1" t="n">
        <v>0.033</v>
      </c>
      <c r="E76" s="1" t="n">
        <v>3185</v>
      </c>
      <c r="F76" s="1" t="n">
        <v>0.013</v>
      </c>
      <c r="G76" s="1" t="n">
        <v>3185</v>
      </c>
      <c r="H76" s="1" t="n">
        <v>0.017</v>
      </c>
    </row>
    <row r="77" customFormat="false" ht="12.75" hidden="false" customHeight="true" outlineLevel="0" collapsed="false">
      <c r="A77" s="1" t="n">
        <v>3234</v>
      </c>
      <c r="B77" s="1" t="n">
        <v>0.005</v>
      </c>
      <c r="C77" s="1" t="n">
        <v>3234</v>
      </c>
      <c r="D77" s="1" t="n">
        <v>0.034</v>
      </c>
      <c r="E77" s="1" t="n">
        <v>3234</v>
      </c>
      <c r="F77" s="1" t="n">
        <v>0.013</v>
      </c>
      <c r="G77" s="1" t="n">
        <v>3234</v>
      </c>
      <c r="H77" s="1" t="n">
        <v>0.017</v>
      </c>
    </row>
    <row r="78" customFormat="false" ht="12.75" hidden="false" customHeight="true" outlineLevel="0" collapsed="false">
      <c r="A78" s="1" t="n">
        <v>3283</v>
      </c>
      <c r="B78" s="1" t="n">
        <v>0.005</v>
      </c>
      <c r="C78" s="1" t="n">
        <v>3283</v>
      </c>
      <c r="D78" s="1" t="n">
        <v>0.034</v>
      </c>
      <c r="E78" s="1" t="n">
        <v>3283</v>
      </c>
      <c r="F78" s="1" t="n">
        <v>0.014</v>
      </c>
      <c r="G78" s="1" t="n">
        <v>3283</v>
      </c>
      <c r="H78" s="1" t="n">
        <v>0.017</v>
      </c>
    </row>
    <row r="79" customFormat="false" ht="12.75" hidden="false" customHeight="true" outlineLevel="0" collapsed="false">
      <c r="A79" s="1" t="n">
        <v>3332</v>
      </c>
      <c r="B79" s="1" t="n">
        <v>0.005</v>
      </c>
      <c r="C79" s="1" t="n">
        <v>3332</v>
      </c>
      <c r="D79" s="1" t="n">
        <v>0.035</v>
      </c>
      <c r="E79" s="1" t="n">
        <v>3332</v>
      </c>
      <c r="F79" s="1" t="n">
        <v>0.014</v>
      </c>
      <c r="G79" s="1" t="n">
        <v>3332</v>
      </c>
      <c r="H79" s="1" t="n">
        <v>0.017</v>
      </c>
    </row>
    <row r="80" customFormat="false" ht="12.75" hidden="false" customHeight="true" outlineLevel="0" collapsed="false">
      <c r="A80" s="1" t="n">
        <v>3381</v>
      </c>
      <c r="B80" s="1" t="n">
        <v>0.006</v>
      </c>
      <c r="C80" s="1" t="n">
        <v>3381</v>
      </c>
      <c r="D80" s="1" t="n">
        <v>0.034</v>
      </c>
      <c r="E80" s="1" t="n">
        <v>3381</v>
      </c>
      <c r="F80" s="1" t="n">
        <v>0.014</v>
      </c>
      <c r="G80" s="1" t="n">
        <v>3381</v>
      </c>
      <c r="H80" s="1" t="n">
        <v>0.018</v>
      </c>
    </row>
    <row r="81" customFormat="false" ht="12.75" hidden="false" customHeight="true" outlineLevel="0" collapsed="false">
      <c r="A81" s="1" t="n">
        <v>3430</v>
      </c>
      <c r="B81" s="1" t="n">
        <v>0.005</v>
      </c>
      <c r="C81" s="1" t="n">
        <v>3430</v>
      </c>
      <c r="D81" s="1" t="n">
        <v>0.034</v>
      </c>
      <c r="E81" s="1" t="n">
        <v>3430</v>
      </c>
      <c r="F81" s="1" t="n">
        <v>0.014</v>
      </c>
      <c r="G81" s="1" t="n">
        <v>3430</v>
      </c>
      <c r="H81" s="1" t="n">
        <v>0.018</v>
      </c>
    </row>
    <row r="82" customFormat="false" ht="12.75" hidden="false" customHeight="true" outlineLevel="0" collapsed="false">
      <c r="A82" s="1" t="n">
        <v>3479</v>
      </c>
      <c r="B82" s="1" t="n">
        <v>0.005</v>
      </c>
      <c r="C82" s="1" t="n">
        <v>3479</v>
      </c>
      <c r="D82" s="1" t="n">
        <v>0.035</v>
      </c>
      <c r="E82" s="1" t="n">
        <v>3479</v>
      </c>
      <c r="F82" s="1" t="n">
        <v>0.014</v>
      </c>
      <c r="G82" s="1" t="n">
        <v>3479</v>
      </c>
      <c r="H82" s="1" t="n">
        <v>0.017</v>
      </c>
    </row>
    <row r="83" customFormat="false" ht="12.75" hidden="false" customHeight="true" outlineLevel="0" collapsed="false">
      <c r="A83" s="1" t="n">
        <v>3528</v>
      </c>
      <c r="B83" s="1" t="n">
        <v>0.005</v>
      </c>
      <c r="C83" s="1" t="n">
        <v>3528</v>
      </c>
      <c r="D83" s="1" t="n">
        <v>0.036</v>
      </c>
      <c r="E83" s="1" t="n">
        <v>3528</v>
      </c>
      <c r="F83" s="1" t="n">
        <v>0.015</v>
      </c>
      <c r="G83" s="1" t="n">
        <v>3528</v>
      </c>
      <c r="H83" s="1" t="n">
        <v>0.017</v>
      </c>
    </row>
    <row r="84" customFormat="false" ht="12.75" hidden="false" customHeight="true" outlineLevel="0" collapsed="false">
      <c r="A84" s="1" t="n">
        <v>3577</v>
      </c>
      <c r="B84" s="1" t="n">
        <v>0.005</v>
      </c>
      <c r="C84" s="1" t="n">
        <v>3577</v>
      </c>
      <c r="D84" s="1" t="n">
        <v>0.036</v>
      </c>
      <c r="E84" s="1" t="n">
        <v>3577</v>
      </c>
      <c r="F84" s="1" t="n">
        <v>0.015</v>
      </c>
      <c r="G84" s="1" t="n">
        <v>3577</v>
      </c>
      <c r="H84" s="1" t="n">
        <v>0.018</v>
      </c>
    </row>
    <row r="85" customFormat="false" ht="12.75" hidden="false" customHeight="true" outlineLevel="0" collapsed="false">
      <c r="A85" s="1" t="n">
        <v>3626</v>
      </c>
      <c r="B85" s="1" t="n">
        <v>0.005</v>
      </c>
      <c r="C85" s="1" t="n">
        <v>3626</v>
      </c>
      <c r="D85" s="1" t="n">
        <v>0.037</v>
      </c>
      <c r="E85" s="1" t="n">
        <v>3626</v>
      </c>
      <c r="F85" s="1" t="n">
        <v>0.014</v>
      </c>
      <c r="G85" s="1" t="n">
        <v>3626</v>
      </c>
      <c r="H85" s="1" t="n">
        <v>0.018</v>
      </c>
    </row>
    <row r="86" customFormat="false" ht="12.75" hidden="false" customHeight="true" outlineLevel="0" collapsed="false">
      <c r="A86" s="1" t="n">
        <v>3675</v>
      </c>
      <c r="B86" s="1" t="n">
        <v>0.005</v>
      </c>
      <c r="C86" s="1" t="n">
        <v>3675</v>
      </c>
      <c r="D86" s="1" t="n">
        <v>0.037</v>
      </c>
      <c r="E86" s="1" t="n">
        <v>3675</v>
      </c>
      <c r="F86" s="1" t="n">
        <v>0.014</v>
      </c>
      <c r="G86" s="1" t="n">
        <v>3675</v>
      </c>
      <c r="H86" s="1" t="n">
        <v>0.018</v>
      </c>
    </row>
    <row r="87" customFormat="false" ht="12.75" hidden="false" customHeight="true" outlineLevel="0" collapsed="false">
      <c r="A87" s="1" t="n">
        <v>3724</v>
      </c>
      <c r="B87" s="1" t="n">
        <v>0.005</v>
      </c>
      <c r="C87" s="1" t="n">
        <v>3724</v>
      </c>
      <c r="D87" s="1" t="n">
        <v>0.037</v>
      </c>
      <c r="E87" s="1" t="n">
        <v>3724</v>
      </c>
      <c r="F87" s="1" t="n">
        <v>0.015</v>
      </c>
      <c r="G87" s="1" t="n">
        <v>3724</v>
      </c>
      <c r="H87" s="1" t="n">
        <v>0.018</v>
      </c>
    </row>
    <row r="88" customFormat="false" ht="12.75" hidden="false" customHeight="true" outlineLevel="0" collapsed="false">
      <c r="A88" s="1" t="n">
        <v>3773</v>
      </c>
      <c r="B88" s="1" t="n">
        <v>0.005</v>
      </c>
      <c r="C88" s="1" t="n">
        <v>3773</v>
      </c>
      <c r="D88" s="1" t="n">
        <v>0.038</v>
      </c>
      <c r="E88" s="1" t="n">
        <v>3773</v>
      </c>
      <c r="F88" s="1" t="n">
        <v>0.014</v>
      </c>
      <c r="G88" s="1" t="n">
        <v>3773</v>
      </c>
      <c r="H88" s="1" t="n">
        <v>0.018</v>
      </c>
    </row>
    <row r="89" customFormat="false" ht="12.75" hidden="false" customHeight="true" outlineLevel="0" collapsed="false">
      <c r="A89" s="1" t="n">
        <v>3822</v>
      </c>
      <c r="B89" s="1" t="n">
        <v>0.006</v>
      </c>
      <c r="C89" s="1" t="n">
        <v>3822</v>
      </c>
      <c r="D89" s="1" t="n">
        <v>0.038</v>
      </c>
      <c r="E89" s="1" t="n">
        <v>3822</v>
      </c>
      <c r="F89" s="1" t="n">
        <v>0.015</v>
      </c>
      <c r="G89" s="1" t="n">
        <v>3822</v>
      </c>
      <c r="H89" s="1" t="n">
        <v>0.018</v>
      </c>
    </row>
    <row r="90" customFormat="false" ht="12.75" hidden="false" customHeight="true" outlineLevel="0" collapsed="false">
      <c r="A90" s="1" t="n">
        <v>3871</v>
      </c>
      <c r="B90" s="1" t="n">
        <v>0.006</v>
      </c>
      <c r="C90" s="1" t="n">
        <v>3871</v>
      </c>
      <c r="D90" s="1" t="n">
        <v>0.039</v>
      </c>
      <c r="E90" s="1" t="n">
        <v>3871</v>
      </c>
      <c r="F90" s="1" t="n">
        <v>0.015</v>
      </c>
      <c r="G90" s="1" t="n">
        <v>3871</v>
      </c>
      <c r="H90" s="1" t="n">
        <v>0.019</v>
      </c>
    </row>
    <row r="91" customFormat="false" ht="12.75" hidden="false" customHeight="true" outlineLevel="0" collapsed="false">
      <c r="A91" s="1" t="n">
        <v>3920</v>
      </c>
      <c r="B91" s="1" t="n">
        <v>0.006</v>
      </c>
      <c r="C91" s="1" t="n">
        <v>3920</v>
      </c>
      <c r="D91" s="1" t="n">
        <v>0.039</v>
      </c>
      <c r="E91" s="1" t="n">
        <v>3920</v>
      </c>
      <c r="F91" s="1" t="n">
        <v>0.015</v>
      </c>
      <c r="G91" s="1" t="n">
        <v>3920</v>
      </c>
      <c r="H91" s="1" t="n">
        <v>0.018</v>
      </c>
    </row>
    <row r="92" customFormat="false" ht="12.75" hidden="false" customHeight="true" outlineLevel="0" collapsed="false">
      <c r="A92" s="1" t="n">
        <v>3969</v>
      </c>
      <c r="B92" s="1" t="n">
        <v>0.006</v>
      </c>
      <c r="C92" s="1" t="n">
        <v>3969</v>
      </c>
      <c r="D92" s="1" t="n">
        <v>0.038</v>
      </c>
      <c r="E92" s="1" t="n">
        <v>3969</v>
      </c>
      <c r="F92" s="1" t="n">
        <v>0.015</v>
      </c>
      <c r="G92" s="1" t="n">
        <v>3969</v>
      </c>
      <c r="H92" s="1" t="n">
        <v>0.019</v>
      </c>
    </row>
    <row r="93" customFormat="false" ht="12.75" hidden="false" customHeight="true" outlineLevel="0" collapsed="false">
      <c r="A93" s="1" t="n">
        <v>4018</v>
      </c>
      <c r="B93" s="1" t="n">
        <v>0.006</v>
      </c>
      <c r="C93" s="1" t="n">
        <v>4018</v>
      </c>
      <c r="D93" s="1" t="n">
        <v>0.04</v>
      </c>
      <c r="E93" s="1" t="n">
        <v>4018</v>
      </c>
      <c r="F93" s="1" t="n">
        <v>0.016</v>
      </c>
      <c r="G93" s="1" t="n">
        <v>4018</v>
      </c>
      <c r="H93" s="1" t="n">
        <v>0.02</v>
      </c>
    </row>
    <row r="94" customFormat="false" ht="12.75" hidden="false" customHeight="true" outlineLevel="0" collapsed="false">
      <c r="A94" s="1" t="n">
        <v>4067</v>
      </c>
      <c r="B94" s="1" t="n">
        <v>0.006</v>
      </c>
      <c r="C94" s="1" t="n">
        <v>4067</v>
      </c>
      <c r="D94" s="1" t="n">
        <v>0.04</v>
      </c>
      <c r="E94" s="1" t="n">
        <v>4067</v>
      </c>
      <c r="F94" s="1" t="n">
        <v>0.015</v>
      </c>
      <c r="G94" s="1" t="n">
        <v>4067</v>
      </c>
      <c r="H94" s="1" t="n">
        <v>0.02</v>
      </c>
    </row>
    <row r="95" customFormat="false" ht="12.75" hidden="false" customHeight="true" outlineLevel="0" collapsed="false">
      <c r="A95" s="1" t="n">
        <v>4116</v>
      </c>
      <c r="B95" s="1" t="n">
        <v>0.007</v>
      </c>
      <c r="C95" s="1" t="n">
        <v>4116</v>
      </c>
      <c r="D95" s="1" t="n">
        <v>0.04</v>
      </c>
      <c r="E95" s="1" t="n">
        <v>4116</v>
      </c>
      <c r="F95" s="1" t="n">
        <v>0.016</v>
      </c>
      <c r="G95" s="1" t="n">
        <v>4116</v>
      </c>
      <c r="H95" s="1" t="n">
        <v>0.02</v>
      </c>
    </row>
    <row r="96" customFormat="false" ht="12.75" hidden="false" customHeight="true" outlineLevel="0" collapsed="false">
      <c r="A96" s="1" t="n">
        <v>4165</v>
      </c>
      <c r="B96" s="1" t="n">
        <v>0.006</v>
      </c>
      <c r="C96" s="1" t="n">
        <v>4165</v>
      </c>
      <c r="D96" s="1" t="n">
        <v>0.04</v>
      </c>
      <c r="E96" s="1" t="n">
        <v>4165</v>
      </c>
      <c r="F96" s="1" t="n">
        <v>0.015</v>
      </c>
      <c r="G96" s="1" t="n">
        <v>4165</v>
      </c>
      <c r="H96" s="1" t="n">
        <v>0.02</v>
      </c>
    </row>
    <row r="97" customFormat="false" ht="12.75" hidden="false" customHeight="true" outlineLevel="0" collapsed="false">
      <c r="A97" s="1" t="n">
        <v>4214</v>
      </c>
      <c r="B97" s="1" t="n">
        <v>0.006</v>
      </c>
      <c r="C97" s="1" t="n">
        <v>4214</v>
      </c>
      <c r="D97" s="1" t="n">
        <v>0.042</v>
      </c>
      <c r="E97" s="1" t="n">
        <v>4214</v>
      </c>
      <c r="F97" s="1" t="n">
        <v>0.016</v>
      </c>
      <c r="G97" s="1" t="n">
        <v>4214</v>
      </c>
      <c r="H97" s="1" t="n">
        <v>0.021</v>
      </c>
    </row>
    <row r="98" customFormat="false" ht="12.75" hidden="false" customHeight="true" outlineLevel="0" collapsed="false">
      <c r="A98" s="1" t="n">
        <v>4263</v>
      </c>
      <c r="B98" s="1" t="n">
        <v>0.006</v>
      </c>
      <c r="C98" s="1" t="n">
        <v>4263</v>
      </c>
      <c r="D98" s="1" t="n">
        <v>0.041</v>
      </c>
      <c r="E98" s="1" t="n">
        <v>4263</v>
      </c>
      <c r="F98" s="1" t="n">
        <v>0.016</v>
      </c>
      <c r="G98" s="1" t="n">
        <v>4263</v>
      </c>
      <c r="H98" s="1" t="n">
        <v>0.021</v>
      </c>
    </row>
    <row r="99" customFormat="false" ht="12.75" hidden="false" customHeight="true" outlineLevel="0" collapsed="false">
      <c r="A99" s="1" t="n">
        <v>4312</v>
      </c>
      <c r="B99" s="1" t="n">
        <v>0.007</v>
      </c>
      <c r="C99" s="1" t="n">
        <v>4312</v>
      </c>
      <c r="D99" s="1" t="n">
        <v>0.042</v>
      </c>
      <c r="E99" s="1" t="n">
        <v>4312</v>
      </c>
      <c r="F99" s="1" t="n">
        <v>0.016</v>
      </c>
      <c r="G99" s="1" t="n">
        <v>4312</v>
      </c>
      <c r="H99" s="1" t="n">
        <v>0.021</v>
      </c>
    </row>
    <row r="100" customFormat="false" ht="12.75" hidden="false" customHeight="true" outlineLevel="0" collapsed="false">
      <c r="A100" s="1" t="n">
        <v>4361</v>
      </c>
      <c r="B100" s="1" t="n">
        <v>0.008</v>
      </c>
      <c r="C100" s="1" t="n">
        <v>4361</v>
      </c>
      <c r="D100" s="1" t="n">
        <v>0.042</v>
      </c>
      <c r="E100" s="1" t="n">
        <v>4361</v>
      </c>
      <c r="F100" s="1" t="n">
        <v>0.015</v>
      </c>
      <c r="G100" s="1" t="n">
        <v>4361</v>
      </c>
      <c r="H100" s="1" t="n">
        <v>0.02</v>
      </c>
    </row>
    <row r="101" customFormat="false" ht="12.75" hidden="false" customHeight="true" outlineLevel="0" collapsed="false">
      <c r="A101" s="1" t="n">
        <v>4410</v>
      </c>
      <c r="B101" s="1" t="n">
        <v>0.007</v>
      </c>
      <c r="C101" s="1" t="n">
        <v>4410</v>
      </c>
      <c r="D101" s="1" t="n">
        <v>0.042</v>
      </c>
      <c r="E101" s="1" t="n">
        <v>4410</v>
      </c>
      <c r="F101" s="1" t="n">
        <v>0.017</v>
      </c>
      <c r="G101" s="1" t="n">
        <v>4410</v>
      </c>
      <c r="H101" s="1" t="n">
        <v>0.02</v>
      </c>
    </row>
    <row r="102" customFormat="false" ht="12.75" hidden="false" customHeight="true" outlineLevel="0" collapsed="false">
      <c r="A102" s="1" t="n">
        <v>4459</v>
      </c>
      <c r="B102" s="1" t="n">
        <v>0.007</v>
      </c>
      <c r="C102" s="1" t="n">
        <v>4459</v>
      </c>
      <c r="D102" s="1" t="n">
        <v>0.043</v>
      </c>
      <c r="E102" s="1" t="n">
        <v>4459</v>
      </c>
      <c r="F102" s="1" t="n">
        <v>0.017</v>
      </c>
      <c r="G102" s="1" t="n">
        <v>4459</v>
      </c>
      <c r="H102" s="1" t="n">
        <v>0.021</v>
      </c>
    </row>
    <row r="103" customFormat="false" ht="12.75" hidden="false" customHeight="true" outlineLevel="0" collapsed="false">
      <c r="A103" s="1" t="n">
        <v>4508</v>
      </c>
      <c r="B103" s="1" t="n">
        <v>0.007</v>
      </c>
      <c r="C103" s="1" t="n">
        <v>4508</v>
      </c>
      <c r="D103" s="1" t="n">
        <v>0.044</v>
      </c>
      <c r="E103" s="1" t="n">
        <v>4508</v>
      </c>
      <c r="F103" s="1" t="n">
        <v>0.016</v>
      </c>
      <c r="G103" s="1" t="n">
        <v>4508</v>
      </c>
      <c r="H103" s="1" t="n">
        <v>0.021</v>
      </c>
    </row>
    <row r="104" customFormat="false" ht="12.75" hidden="false" customHeight="true" outlineLevel="0" collapsed="false">
      <c r="A104" s="1" t="n">
        <v>4557</v>
      </c>
      <c r="B104" s="1" t="n">
        <v>0.007</v>
      </c>
      <c r="C104" s="1" t="n">
        <v>4557</v>
      </c>
      <c r="D104" s="1" t="n">
        <v>0.043</v>
      </c>
      <c r="E104" s="1" t="n">
        <v>4557</v>
      </c>
      <c r="F104" s="1" t="n">
        <v>0.016</v>
      </c>
      <c r="G104" s="1" t="n">
        <v>4557</v>
      </c>
      <c r="H104" s="1" t="n">
        <v>0.021</v>
      </c>
    </row>
    <row r="105" customFormat="false" ht="12.75" hidden="false" customHeight="true" outlineLevel="0" collapsed="false">
      <c r="A105" s="1" t="n">
        <v>4606</v>
      </c>
      <c r="B105" s="1" t="n">
        <v>0.007</v>
      </c>
      <c r="C105" s="1" t="n">
        <v>4606</v>
      </c>
      <c r="D105" s="1" t="n">
        <v>0.044</v>
      </c>
      <c r="E105" s="1" t="n">
        <v>4606</v>
      </c>
      <c r="F105" s="1" t="n">
        <v>0.016</v>
      </c>
      <c r="G105" s="1" t="n">
        <v>4606</v>
      </c>
      <c r="H105" s="1" t="n">
        <v>0.021</v>
      </c>
    </row>
    <row r="106" customFormat="false" ht="12.75" hidden="false" customHeight="true" outlineLevel="0" collapsed="false">
      <c r="A106" s="1" t="n">
        <v>4655</v>
      </c>
      <c r="B106" s="1" t="n">
        <v>0.008</v>
      </c>
      <c r="C106" s="1" t="n">
        <v>4655</v>
      </c>
      <c r="D106" s="1" t="n">
        <v>0.045</v>
      </c>
      <c r="E106" s="1" t="n">
        <v>4655</v>
      </c>
      <c r="F106" s="1" t="n">
        <v>0.017</v>
      </c>
      <c r="G106" s="1" t="n">
        <v>4655</v>
      </c>
      <c r="H106" s="1" t="n">
        <v>0.021</v>
      </c>
    </row>
    <row r="107" customFormat="false" ht="12.75" hidden="false" customHeight="true" outlineLevel="0" collapsed="false">
      <c r="A107" s="1" t="n">
        <v>4704</v>
      </c>
      <c r="B107" s="1" t="n">
        <v>0.007</v>
      </c>
      <c r="C107" s="1" t="n">
        <v>4704</v>
      </c>
      <c r="D107" s="1" t="n">
        <v>0.045</v>
      </c>
      <c r="E107" s="1" t="n">
        <v>4704</v>
      </c>
      <c r="F107" s="1" t="n">
        <v>0.017</v>
      </c>
      <c r="G107" s="1" t="n">
        <v>4704</v>
      </c>
      <c r="H107" s="1" t="n">
        <v>0.021</v>
      </c>
    </row>
    <row r="108" customFormat="false" ht="12.75" hidden="false" customHeight="true" outlineLevel="0" collapsed="false">
      <c r="A108" s="1" t="n">
        <v>4753</v>
      </c>
      <c r="B108" s="1" t="n">
        <v>0.007</v>
      </c>
      <c r="C108" s="1" t="n">
        <v>4753</v>
      </c>
      <c r="D108" s="1" t="n">
        <v>0.046</v>
      </c>
      <c r="E108" s="1" t="n">
        <v>4753</v>
      </c>
      <c r="F108" s="1" t="n">
        <v>0.018</v>
      </c>
      <c r="G108" s="1" t="n">
        <v>4753</v>
      </c>
      <c r="H108" s="1" t="n">
        <v>0.022</v>
      </c>
    </row>
    <row r="109" customFormat="false" ht="12.75" hidden="false" customHeight="true" outlineLevel="0" collapsed="false">
      <c r="A109" s="1" t="n">
        <v>4802</v>
      </c>
      <c r="B109" s="1" t="n">
        <v>0.007</v>
      </c>
      <c r="C109" s="1" t="n">
        <v>4802</v>
      </c>
      <c r="D109" s="1" t="n">
        <v>0.045</v>
      </c>
      <c r="E109" s="1" t="n">
        <v>4802</v>
      </c>
      <c r="F109" s="1" t="n">
        <v>0.017</v>
      </c>
      <c r="G109" s="1" t="n">
        <v>4802</v>
      </c>
      <c r="H109" s="1" t="n">
        <v>0.022</v>
      </c>
    </row>
    <row r="110" customFormat="false" ht="12.75" hidden="false" customHeight="true" outlineLevel="0" collapsed="false">
      <c r="A110" s="1" t="n">
        <v>4851</v>
      </c>
      <c r="B110" s="1" t="n">
        <v>0.007</v>
      </c>
      <c r="C110" s="1" t="n">
        <v>4851</v>
      </c>
      <c r="D110" s="1" t="n">
        <v>0.045</v>
      </c>
      <c r="E110" s="1" t="n">
        <v>4851</v>
      </c>
      <c r="F110" s="1" t="n">
        <v>0.018</v>
      </c>
      <c r="G110" s="1" t="n">
        <v>4851</v>
      </c>
      <c r="H110" s="1" t="n">
        <v>0.021</v>
      </c>
    </row>
    <row r="111" customFormat="false" ht="12.75" hidden="false" customHeight="true" outlineLevel="0" collapsed="false">
      <c r="A111" s="1" t="n">
        <v>4900</v>
      </c>
      <c r="B111" s="1" t="n">
        <v>0.007</v>
      </c>
      <c r="C111" s="1" t="n">
        <v>4900</v>
      </c>
      <c r="D111" s="1" t="n">
        <v>0.047</v>
      </c>
      <c r="E111" s="1" t="n">
        <v>4900</v>
      </c>
      <c r="F111" s="1" t="n">
        <v>0.018</v>
      </c>
      <c r="G111" s="1" t="n">
        <v>4900</v>
      </c>
      <c r="H111" s="1" t="n">
        <v>0.022</v>
      </c>
    </row>
    <row r="112" customFormat="false" ht="12.75" hidden="false" customHeight="true" outlineLevel="0" collapsed="false">
      <c r="A112" s="1" t="n">
        <v>4949</v>
      </c>
      <c r="B112" s="1" t="n">
        <v>0.008</v>
      </c>
      <c r="C112" s="1" t="n">
        <v>4949</v>
      </c>
      <c r="D112" s="1" t="n">
        <v>0.047</v>
      </c>
      <c r="E112" s="1" t="n">
        <v>4949</v>
      </c>
      <c r="F112" s="1" t="n">
        <v>0.017</v>
      </c>
      <c r="G112" s="1" t="n">
        <v>4949</v>
      </c>
      <c r="H112" s="1" t="n">
        <v>0.023</v>
      </c>
    </row>
    <row r="113" customFormat="false" ht="12.75" hidden="false" customHeight="true" outlineLevel="0" collapsed="false">
      <c r="A113" s="1" t="n">
        <v>4998</v>
      </c>
      <c r="B113" s="1" t="n">
        <v>0.008</v>
      </c>
      <c r="C113" s="1" t="n">
        <v>4998</v>
      </c>
      <c r="D113" s="1" t="n">
        <v>0.048</v>
      </c>
      <c r="E113" s="1" t="n">
        <v>4998</v>
      </c>
      <c r="F113" s="1" t="n">
        <v>0.018</v>
      </c>
      <c r="G113" s="1" t="n">
        <v>4998</v>
      </c>
      <c r="H113" s="1" t="n">
        <v>0.023</v>
      </c>
    </row>
    <row r="114" customFormat="false" ht="12.75" hidden="false" customHeight="true" outlineLevel="0" collapsed="false">
      <c r="A114" s="1" t="n">
        <v>5047</v>
      </c>
      <c r="B114" s="1" t="n">
        <v>0.008</v>
      </c>
      <c r="C114" s="1" t="n">
        <v>5047</v>
      </c>
      <c r="D114" s="1" t="n">
        <v>0.048</v>
      </c>
      <c r="E114" s="1" t="n">
        <v>5047</v>
      </c>
      <c r="F114" s="1" t="n">
        <v>0.018</v>
      </c>
      <c r="G114" s="1" t="n">
        <v>5047</v>
      </c>
      <c r="H114" s="1" t="n">
        <v>0.022</v>
      </c>
    </row>
    <row r="115" customFormat="false" ht="12.75" hidden="false" customHeight="true" outlineLevel="0" collapsed="false">
      <c r="A115" s="1" t="n">
        <v>5096</v>
      </c>
      <c r="B115" s="1" t="n">
        <v>0.008</v>
      </c>
      <c r="C115" s="1" t="n">
        <v>5096</v>
      </c>
      <c r="D115" s="1" t="n">
        <v>0.048</v>
      </c>
      <c r="E115" s="1" t="n">
        <v>5096</v>
      </c>
      <c r="F115" s="1" t="n">
        <v>0.019</v>
      </c>
      <c r="G115" s="1" t="n">
        <v>5096</v>
      </c>
      <c r="H115" s="1" t="n">
        <v>0.022</v>
      </c>
    </row>
    <row r="116" customFormat="false" ht="12.75" hidden="false" customHeight="true" outlineLevel="0" collapsed="false">
      <c r="A116" s="1" t="n">
        <v>5145</v>
      </c>
      <c r="B116" s="1" t="n">
        <v>0.007</v>
      </c>
      <c r="C116" s="1" t="n">
        <v>5145</v>
      </c>
      <c r="D116" s="1" t="n">
        <v>0.048</v>
      </c>
      <c r="E116" s="1" t="n">
        <v>5145</v>
      </c>
      <c r="F116" s="1" t="n">
        <v>0.019</v>
      </c>
      <c r="G116" s="1" t="n">
        <v>5145</v>
      </c>
      <c r="H116" s="1" t="n">
        <v>0.023</v>
      </c>
    </row>
    <row r="117" customFormat="false" ht="12.75" hidden="false" customHeight="true" outlineLevel="0" collapsed="false">
      <c r="A117" s="1" t="n">
        <v>5194</v>
      </c>
      <c r="B117" s="1" t="n">
        <v>0.007</v>
      </c>
      <c r="C117" s="1" t="n">
        <v>5194</v>
      </c>
      <c r="D117" s="1" t="n">
        <v>0.049</v>
      </c>
      <c r="E117" s="1" t="n">
        <v>5194</v>
      </c>
      <c r="F117" s="1" t="n">
        <v>0.019</v>
      </c>
      <c r="G117" s="1" t="n">
        <v>5194</v>
      </c>
      <c r="H117" s="1" t="n">
        <v>0.022</v>
      </c>
    </row>
    <row r="118" customFormat="false" ht="12.75" hidden="false" customHeight="true" outlineLevel="0" collapsed="false">
      <c r="A118" s="1" t="n">
        <v>5243</v>
      </c>
      <c r="B118" s="1" t="n">
        <v>0.008</v>
      </c>
      <c r="C118" s="1" t="n">
        <v>5243</v>
      </c>
      <c r="D118" s="1" t="n">
        <v>0.05</v>
      </c>
      <c r="E118" s="1" t="n">
        <v>5243</v>
      </c>
      <c r="F118" s="1" t="n">
        <v>0.019</v>
      </c>
      <c r="G118" s="1" t="n">
        <v>5243</v>
      </c>
      <c r="H118" s="1" t="n">
        <v>0.022</v>
      </c>
    </row>
    <row r="119" customFormat="false" ht="12.75" hidden="false" customHeight="true" outlineLevel="0" collapsed="false">
      <c r="A119" s="1" t="n">
        <v>5292</v>
      </c>
      <c r="B119" s="1" t="n">
        <v>0.007</v>
      </c>
      <c r="C119" s="1" t="n">
        <v>5292</v>
      </c>
      <c r="D119" s="1" t="n">
        <v>0.05</v>
      </c>
      <c r="E119" s="1" t="n">
        <v>5292</v>
      </c>
      <c r="F119" s="1" t="n">
        <v>0.019</v>
      </c>
      <c r="G119" s="1" t="n">
        <v>5292</v>
      </c>
      <c r="H119" s="1" t="n">
        <v>0.024</v>
      </c>
    </row>
    <row r="120" customFormat="false" ht="12.75" hidden="false" customHeight="true" outlineLevel="0" collapsed="false">
      <c r="A120" s="1" t="n">
        <v>5341</v>
      </c>
      <c r="B120" s="1" t="n">
        <v>0.008</v>
      </c>
      <c r="C120" s="1" t="n">
        <v>5341</v>
      </c>
      <c r="D120" s="1" t="n">
        <v>0.049</v>
      </c>
      <c r="E120" s="1" t="n">
        <v>5341</v>
      </c>
      <c r="F120" s="1" t="n">
        <v>0.019</v>
      </c>
      <c r="G120" s="1" t="n">
        <v>5341</v>
      </c>
      <c r="H120" s="1" t="n">
        <v>0.023</v>
      </c>
    </row>
    <row r="121" customFormat="false" ht="12.75" hidden="false" customHeight="true" outlineLevel="0" collapsed="false">
      <c r="A121" s="1" t="n">
        <v>5390</v>
      </c>
      <c r="B121" s="1" t="n">
        <v>0.008</v>
      </c>
      <c r="C121" s="1" t="n">
        <v>5390</v>
      </c>
      <c r="D121" s="1" t="n">
        <v>0.05</v>
      </c>
      <c r="E121" s="1" t="n">
        <v>5390</v>
      </c>
      <c r="F121" s="1" t="n">
        <v>0.019</v>
      </c>
      <c r="G121" s="1" t="n">
        <v>5390</v>
      </c>
      <c r="H121" s="1" t="n">
        <v>0.023</v>
      </c>
    </row>
    <row r="122" customFormat="false" ht="12.75" hidden="false" customHeight="true" outlineLevel="0" collapsed="false">
      <c r="A122" s="1" t="n">
        <v>5439</v>
      </c>
      <c r="B122" s="1" t="n">
        <v>0.008</v>
      </c>
      <c r="C122" s="1" t="n">
        <v>5439</v>
      </c>
      <c r="D122" s="1" t="n">
        <v>0.051</v>
      </c>
      <c r="E122" s="1" t="n">
        <v>5439</v>
      </c>
      <c r="F122" s="1" t="n">
        <v>0.019</v>
      </c>
      <c r="G122" s="1" t="n">
        <v>5439</v>
      </c>
      <c r="H122" s="1" t="n">
        <v>0.023</v>
      </c>
    </row>
    <row r="123" customFormat="false" ht="12.75" hidden="false" customHeight="true" outlineLevel="0" collapsed="false">
      <c r="A123" s="1" t="n">
        <v>5488</v>
      </c>
      <c r="B123" s="1" t="n">
        <v>0.007</v>
      </c>
      <c r="C123" s="1" t="n">
        <v>5488</v>
      </c>
      <c r="D123" s="1" t="n">
        <v>0.051</v>
      </c>
      <c r="E123" s="1" t="n">
        <v>5488</v>
      </c>
      <c r="F123" s="1" t="n">
        <v>0.02</v>
      </c>
      <c r="G123" s="1" t="n">
        <v>5488</v>
      </c>
      <c r="H123" s="1" t="n">
        <v>0.024</v>
      </c>
    </row>
    <row r="124" customFormat="false" ht="12.75" hidden="false" customHeight="true" outlineLevel="0" collapsed="false">
      <c r="A124" s="1" t="n">
        <v>5537</v>
      </c>
      <c r="B124" s="1" t="n">
        <v>0.009</v>
      </c>
      <c r="C124" s="1" t="n">
        <v>5537</v>
      </c>
      <c r="D124" s="1" t="n">
        <v>0.051</v>
      </c>
      <c r="E124" s="1" t="n">
        <v>5537</v>
      </c>
      <c r="F124" s="1" t="n">
        <v>0.02</v>
      </c>
      <c r="G124" s="1" t="n">
        <v>5537</v>
      </c>
      <c r="H124" s="1" t="n">
        <v>0.023</v>
      </c>
    </row>
    <row r="125" customFormat="false" ht="12.75" hidden="false" customHeight="true" outlineLevel="0" collapsed="false">
      <c r="A125" s="1" t="n">
        <v>5586</v>
      </c>
      <c r="B125" s="1" t="n">
        <v>0.008</v>
      </c>
      <c r="C125" s="1" t="n">
        <v>5586</v>
      </c>
      <c r="D125" s="1" t="n">
        <v>0.052</v>
      </c>
      <c r="E125" s="1" t="n">
        <v>5586</v>
      </c>
      <c r="F125" s="1" t="n">
        <v>0.02</v>
      </c>
      <c r="G125" s="1" t="n">
        <v>5586</v>
      </c>
      <c r="H125" s="1" t="n">
        <v>0.024</v>
      </c>
    </row>
    <row r="126" customFormat="false" ht="12.75" hidden="false" customHeight="true" outlineLevel="0" collapsed="false">
      <c r="A126" s="1" t="n">
        <v>5635</v>
      </c>
      <c r="B126" s="1" t="n">
        <v>0.008</v>
      </c>
      <c r="C126" s="1" t="n">
        <v>5635</v>
      </c>
      <c r="D126" s="1" t="n">
        <v>0.052</v>
      </c>
      <c r="E126" s="1" t="n">
        <v>5635</v>
      </c>
      <c r="F126" s="1" t="n">
        <v>0.02</v>
      </c>
      <c r="G126" s="1" t="n">
        <v>5635</v>
      </c>
      <c r="H126" s="1" t="n">
        <v>0.024</v>
      </c>
    </row>
    <row r="127" customFormat="false" ht="12.75" hidden="false" customHeight="true" outlineLevel="0" collapsed="false">
      <c r="A127" s="1" t="n">
        <v>5684</v>
      </c>
      <c r="B127" s="1" t="n">
        <v>0.008</v>
      </c>
      <c r="C127" s="1" t="n">
        <v>5684</v>
      </c>
      <c r="D127" s="1" t="n">
        <v>0.053</v>
      </c>
      <c r="E127" s="1" t="n">
        <v>5684</v>
      </c>
      <c r="F127" s="1" t="n">
        <v>0.019</v>
      </c>
      <c r="G127" s="1" t="n">
        <v>5684</v>
      </c>
      <c r="H127" s="1" t="n">
        <v>0.024</v>
      </c>
    </row>
    <row r="128" customFormat="false" ht="12.75" hidden="false" customHeight="true" outlineLevel="0" collapsed="false">
      <c r="A128" s="1" t="n">
        <v>5733</v>
      </c>
      <c r="B128" s="1" t="n">
        <v>0.009</v>
      </c>
      <c r="C128" s="1" t="n">
        <v>5733</v>
      </c>
      <c r="D128" s="1" t="n">
        <v>0.053</v>
      </c>
      <c r="E128" s="1" t="n">
        <v>5733</v>
      </c>
      <c r="F128" s="1" t="n">
        <v>0.02</v>
      </c>
      <c r="G128" s="1" t="n">
        <v>5733</v>
      </c>
      <c r="H128" s="1" t="n">
        <v>0.024</v>
      </c>
    </row>
    <row r="129" customFormat="false" ht="12.75" hidden="false" customHeight="true" outlineLevel="0" collapsed="false">
      <c r="A129" s="1" t="n">
        <v>5782</v>
      </c>
      <c r="B129" s="1" t="n">
        <v>0.009</v>
      </c>
      <c r="C129" s="1" t="n">
        <v>5782</v>
      </c>
      <c r="D129" s="1" t="n">
        <v>0.053</v>
      </c>
      <c r="E129" s="1" t="n">
        <v>5782</v>
      </c>
      <c r="F129" s="1" t="n">
        <v>0.021</v>
      </c>
      <c r="G129" s="1" t="n">
        <v>5782</v>
      </c>
      <c r="H129" s="1" t="n">
        <v>0.024</v>
      </c>
    </row>
    <row r="130" customFormat="false" ht="12.75" hidden="false" customHeight="true" outlineLevel="0" collapsed="false">
      <c r="A130" s="1" t="n">
        <v>5831</v>
      </c>
      <c r="B130" s="1" t="n">
        <v>0.008</v>
      </c>
      <c r="C130" s="1" t="n">
        <v>5831</v>
      </c>
      <c r="D130" s="1" t="n">
        <v>0.054</v>
      </c>
      <c r="E130" s="1" t="n">
        <v>5831</v>
      </c>
      <c r="F130" s="1" t="n">
        <v>0.02</v>
      </c>
      <c r="G130" s="1" t="n">
        <v>5831</v>
      </c>
      <c r="H130" s="1" t="n">
        <v>0.024</v>
      </c>
    </row>
    <row r="131" customFormat="false" ht="12.75" hidden="false" customHeight="true" outlineLevel="0" collapsed="false">
      <c r="A131" s="1" t="n">
        <v>5880</v>
      </c>
      <c r="B131" s="1" t="n">
        <v>0.009</v>
      </c>
      <c r="C131" s="1" t="n">
        <v>5880</v>
      </c>
      <c r="D131" s="1" t="n">
        <v>0.054</v>
      </c>
      <c r="E131" s="1" t="n">
        <v>5880</v>
      </c>
      <c r="F131" s="1" t="n">
        <v>0.021</v>
      </c>
      <c r="G131" s="1" t="n">
        <v>5880</v>
      </c>
      <c r="H131" s="1" t="n">
        <v>0.025</v>
      </c>
    </row>
    <row r="132" customFormat="false" ht="12.75" hidden="false" customHeight="true" outlineLevel="0" collapsed="false">
      <c r="A132" s="1" t="n">
        <v>5929</v>
      </c>
      <c r="B132" s="1" t="n">
        <v>0.009</v>
      </c>
      <c r="C132" s="1" t="n">
        <v>5929</v>
      </c>
      <c r="D132" s="1" t="n">
        <v>0.055</v>
      </c>
      <c r="E132" s="1" t="n">
        <v>5929</v>
      </c>
      <c r="F132" s="1" t="n">
        <v>0.021</v>
      </c>
      <c r="G132" s="1" t="n">
        <v>5929</v>
      </c>
      <c r="H132" s="1" t="n">
        <v>0.024</v>
      </c>
    </row>
    <row r="133" customFormat="false" ht="12.75" hidden="false" customHeight="true" outlineLevel="0" collapsed="false">
      <c r="A133" s="1" t="n">
        <v>5978</v>
      </c>
      <c r="B133" s="1" t="n">
        <v>0.009</v>
      </c>
      <c r="C133" s="1" t="n">
        <v>5978</v>
      </c>
      <c r="D133" s="1" t="n">
        <v>0.054</v>
      </c>
      <c r="E133" s="1" t="n">
        <v>5978</v>
      </c>
      <c r="F133" s="1" t="n">
        <v>0.021</v>
      </c>
      <c r="G133" s="1" t="n">
        <v>5978</v>
      </c>
      <c r="H133" s="1" t="n">
        <v>0.025</v>
      </c>
    </row>
    <row r="134" customFormat="false" ht="12.75" hidden="false" customHeight="true" outlineLevel="0" collapsed="false">
      <c r="A134" s="1" t="n">
        <v>6027</v>
      </c>
      <c r="B134" s="1" t="n">
        <v>0.009</v>
      </c>
      <c r="C134" s="1" t="n">
        <v>6027</v>
      </c>
      <c r="D134" s="1" t="n">
        <v>0.055</v>
      </c>
      <c r="E134" s="1" t="n">
        <v>6027</v>
      </c>
      <c r="F134" s="1" t="n">
        <v>0.021</v>
      </c>
      <c r="G134" s="1" t="n">
        <v>6027</v>
      </c>
      <c r="H134" s="1" t="n">
        <v>0.025</v>
      </c>
    </row>
    <row r="135" customFormat="false" ht="12.75" hidden="false" customHeight="true" outlineLevel="0" collapsed="false">
      <c r="A135" s="1" t="n">
        <v>6076</v>
      </c>
      <c r="B135" s="1" t="n">
        <v>0.009</v>
      </c>
      <c r="C135" s="1" t="n">
        <v>6076</v>
      </c>
      <c r="D135" s="1" t="n">
        <v>0.055</v>
      </c>
      <c r="E135" s="1" t="n">
        <v>6076</v>
      </c>
      <c r="F135" s="1" t="n">
        <v>0.021</v>
      </c>
      <c r="G135" s="1" t="n">
        <v>6076</v>
      </c>
      <c r="H135" s="1" t="n">
        <v>0.025</v>
      </c>
    </row>
    <row r="136" customFormat="false" ht="12.75" hidden="false" customHeight="true" outlineLevel="0" collapsed="false">
      <c r="A136" s="1" t="n">
        <v>6125</v>
      </c>
      <c r="B136" s="1" t="n">
        <v>0.009</v>
      </c>
      <c r="C136" s="1" t="n">
        <v>6125</v>
      </c>
      <c r="D136" s="1" t="n">
        <v>0.056</v>
      </c>
      <c r="E136" s="1" t="n">
        <v>6125</v>
      </c>
      <c r="F136" s="1" t="n">
        <v>0.02</v>
      </c>
      <c r="G136" s="1" t="n">
        <v>6125</v>
      </c>
      <c r="H136" s="1" t="n">
        <v>0.025</v>
      </c>
    </row>
    <row r="137" customFormat="false" ht="12.75" hidden="false" customHeight="true" outlineLevel="0" collapsed="false">
      <c r="A137" s="1" t="n">
        <v>6174</v>
      </c>
      <c r="B137" s="1" t="n">
        <v>0.009</v>
      </c>
      <c r="C137" s="1" t="n">
        <v>6174</v>
      </c>
      <c r="D137" s="1" t="n">
        <v>0.056</v>
      </c>
      <c r="E137" s="1" t="n">
        <v>6174</v>
      </c>
      <c r="F137" s="1" t="n">
        <v>0.02</v>
      </c>
      <c r="G137" s="1" t="n">
        <v>6174</v>
      </c>
      <c r="H137" s="1" t="n">
        <v>0.025</v>
      </c>
    </row>
    <row r="138" customFormat="false" ht="12.75" hidden="false" customHeight="true" outlineLevel="0" collapsed="false">
      <c r="A138" s="1" t="n">
        <v>6223</v>
      </c>
      <c r="B138" s="1" t="n">
        <v>0.009</v>
      </c>
      <c r="C138" s="1" t="n">
        <v>6223</v>
      </c>
      <c r="D138" s="1" t="n">
        <v>0.057</v>
      </c>
      <c r="E138" s="1" t="n">
        <v>6223</v>
      </c>
      <c r="F138" s="1" t="n">
        <v>0.021</v>
      </c>
      <c r="G138" s="1" t="n">
        <v>6223</v>
      </c>
      <c r="H138" s="1" t="n">
        <v>0.026</v>
      </c>
    </row>
    <row r="139" customFormat="false" ht="12.75" hidden="false" customHeight="true" outlineLevel="0" collapsed="false">
      <c r="A139" s="1" t="n">
        <v>6272</v>
      </c>
      <c r="B139" s="1" t="n">
        <v>0.009</v>
      </c>
      <c r="C139" s="1" t="n">
        <v>6272</v>
      </c>
      <c r="D139" s="1" t="n">
        <v>0.057</v>
      </c>
      <c r="E139" s="1" t="n">
        <v>6272</v>
      </c>
      <c r="F139" s="1" t="n">
        <v>0.021</v>
      </c>
      <c r="G139" s="1" t="n">
        <v>6272</v>
      </c>
      <c r="H139" s="1" t="n">
        <v>0.025</v>
      </c>
    </row>
    <row r="140" customFormat="false" ht="12.75" hidden="false" customHeight="true" outlineLevel="0" collapsed="false">
      <c r="A140" s="1" t="n">
        <v>6321</v>
      </c>
      <c r="B140" s="1" t="n">
        <v>0.009</v>
      </c>
      <c r="C140" s="1" t="n">
        <v>6321</v>
      </c>
      <c r="D140" s="1" t="n">
        <v>0.058</v>
      </c>
      <c r="E140" s="1" t="n">
        <v>6321</v>
      </c>
      <c r="F140" s="1" t="n">
        <v>0.022</v>
      </c>
      <c r="G140" s="1" t="n">
        <v>6321</v>
      </c>
      <c r="H140" s="1" t="n">
        <v>0.025</v>
      </c>
    </row>
    <row r="141" customFormat="false" ht="12.75" hidden="false" customHeight="true" outlineLevel="0" collapsed="false">
      <c r="A141" s="1" t="n">
        <v>6370</v>
      </c>
      <c r="B141" s="1" t="n">
        <v>0.009</v>
      </c>
      <c r="C141" s="1" t="n">
        <v>6370</v>
      </c>
      <c r="D141" s="1" t="n">
        <v>0.058</v>
      </c>
      <c r="E141" s="1" t="n">
        <v>6370</v>
      </c>
      <c r="F141" s="1" t="n">
        <v>0.022</v>
      </c>
      <c r="G141" s="1" t="n">
        <v>6370</v>
      </c>
      <c r="H141" s="1" t="n">
        <v>0.025</v>
      </c>
    </row>
    <row r="142" customFormat="false" ht="12.75" hidden="false" customHeight="true" outlineLevel="0" collapsed="false">
      <c r="A142" s="1" t="n">
        <v>6419</v>
      </c>
      <c r="B142" s="1" t="n">
        <v>0.01</v>
      </c>
      <c r="C142" s="1" t="n">
        <v>6419</v>
      </c>
      <c r="D142" s="1" t="n">
        <v>0.058</v>
      </c>
      <c r="E142" s="1" t="n">
        <v>6419</v>
      </c>
      <c r="F142" s="1" t="n">
        <v>0.022</v>
      </c>
      <c r="G142" s="1" t="n">
        <v>6419</v>
      </c>
      <c r="H142" s="1" t="n">
        <v>0.026</v>
      </c>
    </row>
    <row r="143" customFormat="false" ht="12.75" hidden="false" customHeight="true" outlineLevel="0" collapsed="false">
      <c r="A143" s="1" t="n">
        <v>6468</v>
      </c>
      <c r="B143" s="1" t="n">
        <v>0.009</v>
      </c>
      <c r="C143" s="1" t="n">
        <v>6468</v>
      </c>
      <c r="D143" s="1" t="n">
        <v>0.058</v>
      </c>
      <c r="E143" s="1" t="n">
        <v>6468</v>
      </c>
      <c r="F143" s="1" t="n">
        <v>0.022</v>
      </c>
      <c r="G143" s="1" t="n">
        <v>6468</v>
      </c>
      <c r="H143" s="1" t="n">
        <v>0.026</v>
      </c>
    </row>
    <row r="144" customFormat="false" ht="12.75" hidden="false" customHeight="true" outlineLevel="0" collapsed="false">
      <c r="A144" s="1" t="n">
        <v>6517</v>
      </c>
      <c r="B144" s="1" t="n">
        <v>0.01</v>
      </c>
      <c r="C144" s="1" t="n">
        <v>6517</v>
      </c>
      <c r="D144" s="1" t="n">
        <v>0.059</v>
      </c>
      <c r="E144" s="1" t="n">
        <v>6517</v>
      </c>
      <c r="F144" s="1" t="n">
        <v>0.022</v>
      </c>
      <c r="G144" s="1" t="n">
        <v>6517</v>
      </c>
      <c r="H144" s="1" t="n">
        <v>0.026</v>
      </c>
    </row>
    <row r="145" customFormat="false" ht="12.75" hidden="false" customHeight="true" outlineLevel="0" collapsed="false">
      <c r="A145" s="1" t="n">
        <v>6566</v>
      </c>
      <c r="B145" s="1" t="n">
        <v>0.01</v>
      </c>
      <c r="C145" s="1" t="n">
        <v>6566</v>
      </c>
      <c r="D145" s="1" t="n">
        <v>0.059</v>
      </c>
      <c r="E145" s="1" t="n">
        <v>6566</v>
      </c>
      <c r="F145" s="1" t="n">
        <v>0.022</v>
      </c>
      <c r="G145" s="1" t="n">
        <v>6566</v>
      </c>
      <c r="H145" s="1" t="n">
        <v>0.027</v>
      </c>
    </row>
    <row r="146" customFormat="false" ht="12.75" hidden="false" customHeight="true" outlineLevel="0" collapsed="false">
      <c r="A146" s="1" t="n">
        <v>6615</v>
      </c>
      <c r="B146" s="1" t="n">
        <v>0.009</v>
      </c>
      <c r="C146" s="1" t="n">
        <v>6615</v>
      </c>
      <c r="D146" s="1" t="n">
        <v>0.059</v>
      </c>
      <c r="E146" s="1" t="n">
        <v>6615</v>
      </c>
      <c r="F146" s="1" t="n">
        <v>0.023</v>
      </c>
      <c r="G146" s="1" t="n">
        <v>6615</v>
      </c>
      <c r="H146" s="1" t="n">
        <v>0.026</v>
      </c>
    </row>
    <row r="147" customFormat="false" ht="12.75" hidden="false" customHeight="true" outlineLevel="0" collapsed="false">
      <c r="A147" s="1" t="n">
        <v>6664</v>
      </c>
      <c r="B147" s="1" t="n">
        <v>0.01</v>
      </c>
      <c r="C147" s="1" t="n">
        <v>6664</v>
      </c>
      <c r="D147" s="1" t="n">
        <v>0.06</v>
      </c>
      <c r="E147" s="1" t="n">
        <v>6664</v>
      </c>
      <c r="F147" s="1" t="n">
        <v>0.022</v>
      </c>
      <c r="G147" s="1" t="n">
        <v>6664</v>
      </c>
      <c r="H147" s="1" t="n">
        <v>0.026</v>
      </c>
    </row>
    <row r="148" customFormat="false" ht="12.75" hidden="false" customHeight="true" outlineLevel="0" collapsed="false">
      <c r="A148" s="1" t="n">
        <v>6713</v>
      </c>
      <c r="B148" s="1" t="n">
        <v>0.01</v>
      </c>
      <c r="C148" s="1" t="n">
        <v>6713</v>
      </c>
      <c r="D148" s="1" t="n">
        <v>0.06</v>
      </c>
      <c r="E148" s="1" t="n">
        <v>6713</v>
      </c>
      <c r="F148" s="1" t="n">
        <v>0.022</v>
      </c>
      <c r="G148" s="1" t="n">
        <v>6713</v>
      </c>
      <c r="H148" s="1" t="n">
        <v>0.027</v>
      </c>
    </row>
    <row r="149" customFormat="false" ht="12.75" hidden="false" customHeight="true" outlineLevel="0" collapsed="false">
      <c r="A149" s="1" t="n">
        <v>6762</v>
      </c>
      <c r="B149" s="1" t="n">
        <v>0.01</v>
      </c>
      <c r="C149" s="1" t="n">
        <v>6762</v>
      </c>
      <c r="D149" s="1" t="n">
        <v>0.06</v>
      </c>
      <c r="E149" s="1" t="n">
        <v>6762</v>
      </c>
      <c r="F149" s="1" t="n">
        <v>0.023</v>
      </c>
      <c r="G149" s="1" t="n">
        <v>6762</v>
      </c>
      <c r="H149" s="1" t="n">
        <v>0.027</v>
      </c>
    </row>
    <row r="150" customFormat="false" ht="12.75" hidden="false" customHeight="true" outlineLevel="0" collapsed="false">
      <c r="A150" s="1" t="n">
        <v>6811</v>
      </c>
      <c r="B150" s="1" t="n">
        <v>0.011</v>
      </c>
      <c r="C150" s="1" t="n">
        <v>6811</v>
      </c>
      <c r="D150" s="1" t="n">
        <v>0.061</v>
      </c>
      <c r="E150" s="1" t="n">
        <v>6811</v>
      </c>
      <c r="F150" s="1" t="n">
        <v>0.022</v>
      </c>
      <c r="G150" s="1" t="n">
        <v>6811</v>
      </c>
      <c r="H150" s="1" t="n">
        <v>0.026</v>
      </c>
    </row>
    <row r="151" customFormat="false" ht="12.75" hidden="false" customHeight="true" outlineLevel="0" collapsed="false">
      <c r="A151" s="1" t="n">
        <v>6860</v>
      </c>
      <c r="B151" s="1" t="n">
        <v>0.01</v>
      </c>
      <c r="C151" s="1" t="n">
        <v>6860</v>
      </c>
      <c r="D151" s="1" t="n">
        <v>0.061</v>
      </c>
      <c r="E151" s="1" t="n">
        <v>6860</v>
      </c>
      <c r="F151" s="1" t="n">
        <v>0.023</v>
      </c>
      <c r="G151" s="1" t="n">
        <v>6860</v>
      </c>
      <c r="H151" s="1" t="n">
        <v>0.027</v>
      </c>
    </row>
    <row r="152" customFormat="false" ht="12.75" hidden="false" customHeight="true" outlineLevel="0" collapsed="false">
      <c r="A152" s="1" t="n">
        <v>6909</v>
      </c>
      <c r="B152" s="1" t="n">
        <v>0.011</v>
      </c>
      <c r="C152" s="1" t="n">
        <v>6909</v>
      </c>
      <c r="D152" s="1" t="n">
        <v>0.062</v>
      </c>
      <c r="E152" s="1" t="n">
        <v>6909</v>
      </c>
      <c r="F152" s="1" t="n">
        <v>0.022</v>
      </c>
      <c r="G152" s="1" t="n">
        <v>6909</v>
      </c>
      <c r="H152" s="1" t="n">
        <v>0.027</v>
      </c>
    </row>
    <row r="153" customFormat="false" ht="12.75" hidden="false" customHeight="true" outlineLevel="0" collapsed="false">
      <c r="A153" s="1" t="n">
        <v>6958</v>
      </c>
      <c r="B153" s="1" t="n">
        <v>0.01</v>
      </c>
      <c r="C153" s="1" t="n">
        <v>6958</v>
      </c>
      <c r="D153" s="1" t="n">
        <v>0.063</v>
      </c>
      <c r="E153" s="1" t="n">
        <v>6958</v>
      </c>
      <c r="F153" s="1" t="n">
        <v>0.023</v>
      </c>
      <c r="G153" s="1" t="n">
        <v>6958</v>
      </c>
      <c r="H153" s="1" t="n">
        <v>0.027</v>
      </c>
    </row>
    <row r="154" customFormat="false" ht="12.75" hidden="false" customHeight="true" outlineLevel="0" collapsed="false">
      <c r="A154" s="1" t="n">
        <v>7007</v>
      </c>
      <c r="B154" s="1" t="n">
        <v>0.011</v>
      </c>
      <c r="C154" s="1" t="n">
        <v>7007</v>
      </c>
      <c r="D154" s="1" t="n">
        <v>0.063</v>
      </c>
      <c r="E154" s="1" t="n">
        <v>7007</v>
      </c>
      <c r="F154" s="1" t="n">
        <v>0.023</v>
      </c>
      <c r="G154" s="1" t="n">
        <v>7007</v>
      </c>
      <c r="H154" s="1" t="n">
        <v>0.028</v>
      </c>
    </row>
    <row r="155" customFormat="false" ht="12.75" hidden="false" customHeight="true" outlineLevel="0" collapsed="false">
      <c r="A155" s="1" t="n">
        <v>7056</v>
      </c>
      <c r="B155" s="1" t="n">
        <v>0.01</v>
      </c>
      <c r="C155" s="1" t="n">
        <v>7056</v>
      </c>
      <c r="D155" s="1" t="n">
        <v>0.063</v>
      </c>
      <c r="E155" s="1" t="n">
        <v>7056</v>
      </c>
      <c r="F155" s="1" t="n">
        <v>0.023</v>
      </c>
      <c r="G155" s="1" t="n">
        <v>7056</v>
      </c>
      <c r="H155" s="1" t="n">
        <v>0.027</v>
      </c>
    </row>
    <row r="156" customFormat="false" ht="12.75" hidden="false" customHeight="true" outlineLevel="0" collapsed="false">
      <c r="A156" s="1" t="n">
        <v>7105</v>
      </c>
      <c r="B156" s="1" t="n">
        <v>0.01</v>
      </c>
      <c r="C156" s="1" t="n">
        <v>7105</v>
      </c>
      <c r="D156" s="1" t="n">
        <v>0.063</v>
      </c>
      <c r="E156" s="1" t="n">
        <v>7105</v>
      </c>
      <c r="F156" s="1" t="n">
        <v>0.023</v>
      </c>
      <c r="G156" s="1" t="n">
        <v>7105</v>
      </c>
      <c r="H156" s="1" t="n">
        <v>0.027</v>
      </c>
    </row>
    <row r="157" customFormat="false" ht="12.75" hidden="false" customHeight="true" outlineLevel="0" collapsed="false">
      <c r="A157" s="1" t="n">
        <v>7154</v>
      </c>
      <c r="B157" s="1" t="n">
        <v>0.011</v>
      </c>
      <c r="C157" s="1" t="n">
        <v>7154</v>
      </c>
      <c r="D157" s="1" t="n">
        <v>0.064</v>
      </c>
      <c r="E157" s="1" t="n">
        <v>7154</v>
      </c>
      <c r="F157" s="1" t="n">
        <v>0.024</v>
      </c>
      <c r="G157" s="1" t="n">
        <v>7154</v>
      </c>
      <c r="H157" s="1" t="n">
        <v>0.027</v>
      </c>
    </row>
    <row r="158" customFormat="false" ht="12.75" hidden="false" customHeight="true" outlineLevel="0" collapsed="false">
      <c r="A158" s="1" t="n">
        <v>7203</v>
      </c>
      <c r="B158" s="1" t="n">
        <v>0.01</v>
      </c>
      <c r="C158" s="1" t="n">
        <v>7203</v>
      </c>
      <c r="D158" s="1" t="n">
        <v>0.064</v>
      </c>
      <c r="E158" s="1" t="n">
        <v>7203</v>
      </c>
      <c r="F158" s="1" t="n">
        <v>0.024</v>
      </c>
      <c r="G158" s="1" t="n">
        <v>7203</v>
      </c>
      <c r="H158" s="1" t="n">
        <v>0.028</v>
      </c>
    </row>
    <row r="159" customFormat="false" ht="12.75" hidden="false" customHeight="true" outlineLevel="0" collapsed="false">
      <c r="A159" s="1" t="n">
        <v>7252</v>
      </c>
      <c r="B159" s="1" t="n">
        <v>0.011</v>
      </c>
      <c r="C159" s="1" t="n">
        <v>7252</v>
      </c>
      <c r="D159" s="1" t="n">
        <v>0.064</v>
      </c>
      <c r="E159" s="1" t="n">
        <v>7252</v>
      </c>
      <c r="F159" s="1" t="n">
        <v>0.024</v>
      </c>
      <c r="G159" s="1" t="n">
        <v>7252</v>
      </c>
      <c r="H159" s="1" t="n">
        <v>0.028</v>
      </c>
    </row>
    <row r="160" customFormat="false" ht="12.75" hidden="false" customHeight="true" outlineLevel="0" collapsed="false">
      <c r="A160" s="1" t="n">
        <v>7301</v>
      </c>
      <c r="B160" s="1" t="n">
        <v>0.011</v>
      </c>
      <c r="C160" s="1" t="n">
        <v>7301</v>
      </c>
      <c r="D160" s="1" t="n">
        <v>0.065</v>
      </c>
      <c r="E160" s="1" t="n">
        <v>7301</v>
      </c>
      <c r="F160" s="1" t="n">
        <v>0.023</v>
      </c>
      <c r="G160" s="1" t="n">
        <v>7301</v>
      </c>
      <c r="H160" s="1" t="n">
        <v>0.028</v>
      </c>
    </row>
    <row r="161" customFormat="false" ht="12.75" hidden="false" customHeight="true" outlineLevel="0" collapsed="false">
      <c r="A161" s="1" t="n">
        <v>7350</v>
      </c>
      <c r="B161" s="1" t="n">
        <v>0.011</v>
      </c>
      <c r="C161" s="1" t="n">
        <v>7350</v>
      </c>
      <c r="D161" s="1" t="n">
        <v>0.066</v>
      </c>
      <c r="E161" s="1" t="n">
        <v>7350</v>
      </c>
      <c r="F161" s="1" t="n">
        <v>0.024</v>
      </c>
      <c r="G161" s="1" t="n">
        <v>7350</v>
      </c>
      <c r="H161" s="1" t="n">
        <v>0.028</v>
      </c>
    </row>
    <row r="162" customFormat="false" ht="12.75" hidden="false" customHeight="true" outlineLevel="0" collapsed="false">
      <c r="A162" s="1" t="n">
        <v>7399</v>
      </c>
      <c r="B162" s="1" t="n">
        <v>0.011</v>
      </c>
      <c r="C162" s="1" t="n">
        <v>7399</v>
      </c>
      <c r="D162" s="1" t="n">
        <v>0.065</v>
      </c>
      <c r="E162" s="1" t="n">
        <v>7399</v>
      </c>
      <c r="F162" s="1" t="n">
        <v>0.024</v>
      </c>
      <c r="G162" s="1" t="n">
        <v>7399</v>
      </c>
      <c r="H162" s="1" t="n">
        <v>0.029</v>
      </c>
    </row>
    <row r="163" customFormat="false" ht="12.75" hidden="false" customHeight="true" outlineLevel="0" collapsed="false">
      <c r="A163" s="1" t="n">
        <v>7448</v>
      </c>
      <c r="B163" s="1" t="n">
        <v>0.011</v>
      </c>
      <c r="C163" s="1" t="n">
        <v>7448</v>
      </c>
      <c r="D163" s="1" t="n">
        <v>0.066</v>
      </c>
      <c r="E163" s="1" t="n">
        <v>7448</v>
      </c>
      <c r="F163" s="1" t="n">
        <v>0.024</v>
      </c>
      <c r="G163" s="1" t="n">
        <v>7448</v>
      </c>
      <c r="H163" s="1" t="n">
        <v>0.028</v>
      </c>
    </row>
    <row r="164" customFormat="false" ht="12.75" hidden="false" customHeight="true" outlineLevel="0" collapsed="false">
      <c r="A164" s="1" t="n">
        <v>7497</v>
      </c>
      <c r="B164" s="1" t="n">
        <v>0.011</v>
      </c>
      <c r="C164" s="1" t="n">
        <v>7497</v>
      </c>
      <c r="D164" s="1" t="n">
        <v>0.066</v>
      </c>
      <c r="E164" s="1" t="n">
        <v>7497</v>
      </c>
      <c r="F164" s="1" t="n">
        <v>0.024</v>
      </c>
      <c r="G164" s="1" t="n">
        <v>7497</v>
      </c>
      <c r="H164" s="1" t="n">
        <v>0.029</v>
      </c>
    </row>
    <row r="165" customFormat="false" ht="12.75" hidden="false" customHeight="true" outlineLevel="0" collapsed="false">
      <c r="A165" s="1" t="n">
        <v>7546</v>
      </c>
      <c r="B165" s="1" t="n">
        <v>0.011</v>
      </c>
      <c r="C165" s="1" t="n">
        <v>7546</v>
      </c>
      <c r="D165" s="1" t="n">
        <v>0.067</v>
      </c>
      <c r="E165" s="1" t="n">
        <v>7546</v>
      </c>
      <c r="F165" s="1" t="n">
        <v>0.025</v>
      </c>
      <c r="G165" s="1" t="n">
        <v>7546</v>
      </c>
      <c r="H165" s="1" t="n">
        <v>0.028</v>
      </c>
    </row>
    <row r="166" customFormat="false" ht="12.75" hidden="false" customHeight="true" outlineLevel="0" collapsed="false">
      <c r="A166" s="1" t="n">
        <v>7595</v>
      </c>
      <c r="B166" s="1" t="n">
        <v>0.012</v>
      </c>
      <c r="C166" s="1" t="n">
        <v>7595</v>
      </c>
      <c r="D166" s="1" t="n">
        <v>0.067</v>
      </c>
      <c r="E166" s="1" t="n">
        <v>7595</v>
      </c>
      <c r="F166" s="1" t="n">
        <v>0.024</v>
      </c>
      <c r="G166" s="1" t="n">
        <v>7595</v>
      </c>
      <c r="H166" s="1" t="n">
        <v>0.028</v>
      </c>
    </row>
    <row r="167" customFormat="false" ht="12.75" hidden="false" customHeight="true" outlineLevel="0" collapsed="false">
      <c r="A167" s="1" t="n">
        <v>7644</v>
      </c>
      <c r="B167" s="1" t="n">
        <v>0.01</v>
      </c>
      <c r="C167" s="1" t="n">
        <v>7644</v>
      </c>
      <c r="D167" s="1" t="n">
        <v>0.067</v>
      </c>
      <c r="E167" s="1" t="n">
        <v>7644</v>
      </c>
      <c r="F167" s="1" t="n">
        <v>0.024</v>
      </c>
      <c r="G167" s="1" t="n">
        <v>7644</v>
      </c>
      <c r="H167" s="1" t="n">
        <v>0.029</v>
      </c>
    </row>
    <row r="168" customFormat="false" ht="12.75" hidden="false" customHeight="true" outlineLevel="0" collapsed="false">
      <c r="A168" s="1" t="n">
        <v>7693</v>
      </c>
      <c r="B168" s="1" t="n">
        <v>0.011</v>
      </c>
      <c r="C168" s="1" t="n">
        <v>7693</v>
      </c>
      <c r="D168" s="1" t="n">
        <v>0.068</v>
      </c>
      <c r="E168" s="1" t="n">
        <v>7693</v>
      </c>
      <c r="F168" s="1" t="n">
        <v>0.025</v>
      </c>
      <c r="G168" s="1" t="n">
        <v>7693</v>
      </c>
      <c r="H168" s="1" t="n">
        <v>0.029</v>
      </c>
    </row>
    <row r="169" customFormat="false" ht="12.75" hidden="false" customHeight="true" outlineLevel="0" collapsed="false">
      <c r="A169" s="1" t="n">
        <v>7742</v>
      </c>
      <c r="B169" s="1" t="n">
        <v>0.011</v>
      </c>
      <c r="C169" s="1" t="n">
        <v>7742</v>
      </c>
      <c r="D169" s="1" t="n">
        <v>0.068</v>
      </c>
      <c r="E169" s="1" t="n">
        <v>7742</v>
      </c>
      <c r="F169" s="1" t="n">
        <v>0.025</v>
      </c>
      <c r="G169" s="1" t="n">
        <v>7742</v>
      </c>
      <c r="H169" s="1" t="n">
        <v>0.03</v>
      </c>
    </row>
    <row r="170" customFormat="false" ht="12.75" hidden="false" customHeight="true" outlineLevel="0" collapsed="false">
      <c r="A170" s="1" t="n">
        <v>7791</v>
      </c>
      <c r="B170" s="1" t="n">
        <v>0.011</v>
      </c>
      <c r="C170" s="1" t="n">
        <v>7791</v>
      </c>
      <c r="D170" s="1" t="n">
        <v>0.068</v>
      </c>
      <c r="E170" s="1" t="n">
        <v>7791</v>
      </c>
      <c r="F170" s="1" t="n">
        <v>0.024</v>
      </c>
      <c r="G170" s="1" t="n">
        <v>7791</v>
      </c>
      <c r="H170" s="1" t="n">
        <v>0.029</v>
      </c>
    </row>
    <row r="171" customFormat="false" ht="12.75" hidden="false" customHeight="true" outlineLevel="0" collapsed="false">
      <c r="A171" s="1" t="n">
        <v>7840</v>
      </c>
      <c r="B171" s="1" t="n">
        <v>0.011</v>
      </c>
      <c r="C171" s="1" t="n">
        <v>7840</v>
      </c>
      <c r="D171" s="1" t="n">
        <v>0.068</v>
      </c>
      <c r="E171" s="1" t="n">
        <v>7840</v>
      </c>
      <c r="F171" s="1" t="n">
        <v>0.025</v>
      </c>
      <c r="G171" s="1" t="n">
        <v>7840</v>
      </c>
      <c r="H171" s="1" t="n">
        <v>0.029</v>
      </c>
    </row>
    <row r="172" customFormat="false" ht="12.75" hidden="false" customHeight="true" outlineLevel="0" collapsed="false">
      <c r="A172" s="1" t="n">
        <v>7889</v>
      </c>
      <c r="B172" s="1" t="n">
        <v>0.011</v>
      </c>
      <c r="C172" s="1" t="n">
        <v>7889</v>
      </c>
      <c r="D172" s="1" t="n">
        <v>0.069</v>
      </c>
      <c r="E172" s="1" t="n">
        <v>7889</v>
      </c>
      <c r="F172" s="1" t="n">
        <v>0.024</v>
      </c>
      <c r="G172" s="1" t="n">
        <v>7889</v>
      </c>
      <c r="H172" s="1" t="n">
        <v>0.03</v>
      </c>
    </row>
    <row r="173" customFormat="false" ht="12.75" hidden="false" customHeight="true" outlineLevel="0" collapsed="false">
      <c r="A173" s="1" t="n">
        <v>7938</v>
      </c>
      <c r="B173" s="1" t="n">
        <v>0.01</v>
      </c>
      <c r="C173" s="1" t="n">
        <v>7938</v>
      </c>
      <c r="D173" s="1" t="n">
        <v>0.069</v>
      </c>
      <c r="E173" s="1" t="n">
        <v>7938</v>
      </c>
      <c r="F173" s="1" t="n">
        <v>0.025</v>
      </c>
      <c r="G173" s="1" t="n">
        <v>7938</v>
      </c>
      <c r="H173" s="1" t="n">
        <v>0.029</v>
      </c>
    </row>
    <row r="174" customFormat="false" ht="12.75" hidden="false" customHeight="true" outlineLevel="0" collapsed="false">
      <c r="A174" s="1" t="n">
        <v>7987</v>
      </c>
      <c r="B174" s="1" t="n">
        <v>0.012</v>
      </c>
      <c r="C174" s="1" t="n">
        <v>7987</v>
      </c>
      <c r="D174" s="1" t="n">
        <v>0.07</v>
      </c>
      <c r="E174" s="1" t="n">
        <v>7987</v>
      </c>
      <c r="F174" s="1" t="n">
        <v>0.026</v>
      </c>
      <c r="G174" s="1" t="n">
        <v>7987</v>
      </c>
      <c r="H174" s="1" t="n">
        <v>0.03</v>
      </c>
    </row>
    <row r="175" customFormat="false" ht="12.75" hidden="false" customHeight="true" outlineLevel="0" collapsed="false">
      <c r="A175" s="1" t="n">
        <v>8036</v>
      </c>
      <c r="B175" s="1" t="n">
        <v>0.012</v>
      </c>
      <c r="C175" s="1" t="n">
        <v>8036</v>
      </c>
      <c r="D175" s="1" t="n">
        <v>0.07</v>
      </c>
      <c r="E175" s="1" t="n">
        <v>8036</v>
      </c>
      <c r="F175" s="1" t="n">
        <v>0.025</v>
      </c>
      <c r="G175" s="1" t="n">
        <v>8036</v>
      </c>
      <c r="H175" s="1" t="n">
        <v>0.03</v>
      </c>
    </row>
    <row r="176" customFormat="false" ht="12.75" hidden="false" customHeight="true" outlineLevel="0" collapsed="false">
      <c r="A176" s="1" t="n">
        <v>8085</v>
      </c>
      <c r="B176" s="1" t="n">
        <v>0.012</v>
      </c>
      <c r="C176" s="1" t="n">
        <v>8085</v>
      </c>
      <c r="D176" s="1" t="n">
        <v>0.07</v>
      </c>
      <c r="E176" s="1" t="n">
        <v>8085</v>
      </c>
      <c r="F176" s="1" t="n">
        <v>0.025</v>
      </c>
      <c r="G176" s="1" t="n">
        <v>8085</v>
      </c>
      <c r="H176" s="1" t="n">
        <v>0.03</v>
      </c>
    </row>
    <row r="177" customFormat="false" ht="12.75" hidden="false" customHeight="true" outlineLevel="0" collapsed="false">
      <c r="A177" s="1" t="n">
        <v>8134</v>
      </c>
      <c r="B177" s="1" t="n">
        <v>0.012</v>
      </c>
      <c r="C177" s="1" t="n">
        <v>8134</v>
      </c>
      <c r="D177" s="1" t="n">
        <v>0.071</v>
      </c>
      <c r="E177" s="1" t="n">
        <v>8134</v>
      </c>
      <c r="F177" s="1" t="n">
        <v>0.026</v>
      </c>
      <c r="G177" s="1" t="n">
        <v>8134</v>
      </c>
      <c r="H177" s="1" t="n">
        <v>0.03</v>
      </c>
    </row>
    <row r="178" customFormat="false" ht="12.75" hidden="false" customHeight="true" outlineLevel="0" collapsed="false">
      <c r="A178" s="1" t="n">
        <v>8183</v>
      </c>
      <c r="B178" s="1" t="n">
        <v>0.012</v>
      </c>
      <c r="C178" s="1" t="n">
        <v>8183</v>
      </c>
      <c r="D178" s="1" t="n">
        <v>0.072</v>
      </c>
      <c r="E178" s="1" t="n">
        <v>8183</v>
      </c>
      <c r="F178" s="1" t="n">
        <v>0.026</v>
      </c>
      <c r="G178" s="1" t="n">
        <v>8183</v>
      </c>
      <c r="H178" s="1" t="n">
        <v>0.031</v>
      </c>
    </row>
    <row r="179" customFormat="false" ht="12.75" hidden="false" customHeight="true" outlineLevel="0" collapsed="false">
      <c r="A179" s="1" t="n">
        <v>8232</v>
      </c>
      <c r="B179" s="1" t="n">
        <v>0.012</v>
      </c>
      <c r="C179" s="1" t="n">
        <v>8232</v>
      </c>
      <c r="D179" s="1" t="n">
        <v>0.071</v>
      </c>
      <c r="E179" s="1" t="n">
        <v>8232</v>
      </c>
      <c r="F179" s="1" t="n">
        <v>0.026</v>
      </c>
      <c r="G179" s="1" t="n">
        <v>8232</v>
      </c>
      <c r="H179" s="1" t="n">
        <v>0.03</v>
      </c>
    </row>
    <row r="180" customFormat="false" ht="12.75" hidden="false" customHeight="true" outlineLevel="0" collapsed="false">
      <c r="A180" s="1" t="n">
        <v>8281</v>
      </c>
      <c r="B180" s="1" t="n">
        <v>0.012</v>
      </c>
      <c r="C180" s="1" t="n">
        <v>8281</v>
      </c>
      <c r="D180" s="1" t="n">
        <v>0.071</v>
      </c>
      <c r="E180" s="1" t="n">
        <v>8281</v>
      </c>
      <c r="F180" s="1" t="n">
        <v>0.026</v>
      </c>
      <c r="G180" s="1" t="n">
        <v>8281</v>
      </c>
      <c r="H180" s="1" t="n">
        <v>0.031</v>
      </c>
    </row>
    <row r="181" customFormat="false" ht="12.75" hidden="false" customHeight="true" outlineLevel="0" collapsed="false">
      <c r="A181" s="1" t="n">
        <v>8330</v>
      </c>
      <c r="B181" s="1" t="n">
        <v>0.012</v>
      </c>
      <c r="C181" s="1" t="n">
        <v>8330</v>
      </c>
      <c r="D181" s="1" t="n">
        <v>0.072</v>
      </c>
      <c r="E181" s="1" t="n">
        <v>8330</v>
      </c>
      <c r="F181" s="1" t="n">
        <v>0.026</v>
      </c>
      <c r="G181" s="1" t="n">
        <v>8330</v>
      </c>
      <c r="H181" s="1" t="n">
        <v>0.031</v>
      </c>
    </row>
    <row r="182" customFormat="false" ht="12.75" hidden="false" customHeight="true" outlineLevel="0" collapsed="false">
      <c r="A182" s="1" t="n">
        <v>8379</v>
      </c>
      <c r="B182" s="1" t="n">
        <v>0.012</v>
      </c>
      <c r="C182" s="1" t="n">
        <v>8379</v>
      </c>
      <c r="D182" s="1" t="n">
        <v>0.073</v>
      </c>
      <c r="E182" s="1" t="n">
        <v>8379</v>
      </c>
      <c r="F182" s="1" t="n">
        <v>0.026</v>
      </c>
      <c r="G182" s="1" t="n">
        <v>8379</v>
      </c>
      <c r="H182" s="1" t="n">
        <v>0.031</v>
      </c>
    </row>
    <row r="183" customFormat="false" ht="12.75" hidden="false" customHeight="true" outlineLevel="0" collapsed="false">
      <c r="A183" s="1" t="n">
        <v>8428</v>
      </c>
      <c r="B183" s="1" t="n">
        <v>0.012</v>
      </c>
      <c r="C183" s="1" t="n">
        <v>8428</v>
      </c>
      <c r="D183" s="1" t="n">
        <v>0.073</v>
      </c>
      <c r="E183" s="1" t="n">
        <v>8428</v>
      </c>
      <c r="F183" s="1" t="n">
        <v>0.026</v>
      </c>
      <c r="G183" s="1" t="n">
        <v>8428</v>
      </c>
      <c r="H183" s="1" t="n">
        <v>0.031</v>
      </c>
    </row>
    <row r="184" customFormat="false" ht="12.75" hidden="false" customHeight="true" outlineLevel="0" collapsed="false">
      <c r="A184" s="1" t="n">
        <v>8477</v>
      </c>
      <c r="B184" s="1" t="n">
        <v>0.012</v>
      </c>
      <c r="C184" s="1" t="n">
        <v>8477</v>
      </c>
      <c r="D184" s="1" t="n">
        <v>0.073</v>
      </c>
      <c r="E184" s="1" t="n">
        <v>8477</v>
      </c>
      <c r="F184" s="1" t="n">
        <v>0.026</v>
      </c>
      <c r="G184" s="1" t="n">
        <v>8477</v>
      </c>
      <c r="H184" s="1" t="n">
        <v>0.031</v>
      </c>
    </row>
    <row r="185" customFormat="false" ht="12.75" hidden="false" customHeight="true" outlineLevel="0" collapsed="false">
      <c r="A185" s="1" t="n">
        <v>8526</v>
      </c>
      <c r="B185" s="1" t="n">
        <v>0.013</v>
      </c>
      <c r="C185" s="1" t="n">
        <v>8526</v>
      </c>
      <c r="D185" s="1" t="n">
        <v>0.074</v>
      </c>
      <c r="E185" s="1" t="n">
        <v>8526</v>
      </c>
      <c r="F185" s="1" t="n">
        <v>0.027</v>
      </c>
      <c r="G185" s="1" t="n">
        <v>8526</v>
      </c>
      <c r="H185" s="1" t="n">
        <v>0.032</v>
      </c>
    </row>
    <row r="186" customFormat="false" ht="12.75" hidden="false" customHeight="true" outlineLevel="0" collapsed="false">
      <c r="A186" s="1" t="n">
        <v>8575</v>
      </c>
      <c r="B186" s="1" t="n">
        <v>0.013</v>
      </c>
      <c r="C186" s="1" t="n">
        <v>8575</v>
      </c>
      <c r="D186" s="1" t="n">
        <v>0.074</v>
      </c>
      <c r="E186" s="1" t="n">
        <v>8575</v>
      </c>
      <c r="F186" s="1" t="n">
        <v>0.027</v>
      </c>
      <c r="G186" s="1" t="n">
        <v>8575</v>
      </c>
      <c r="H186" s="1" t="n">
        <v>0.032</v>
      </c>
    </row>
    <row r="187" customFormat="false" ht="12.75" hidden="false" customHeight="true" outlineLevel="0" collapsed="false">
      <c r="A187" s="1" t="n">
        <v>8624</v>
      </c>
      <c r="B187" s="1" t="n">
        <v>0.013</v>
      </c>
      <c r="C187" s="1" t="n">
        <v>8624</v>
      </c>
      <c r="D187" s="1" t="n">
        <v>0.074</v>
      </c>
      <c r="E187" s="1" t="n">
        <v>8624</v>
      </c>
      <c r="F187" s="1" t="n">
        <v>0.028</v>
      </c>
      <c r="G187" s="1" t="n">
        <v>8624</v>
      </c>
      <c r="H187" s="1" t="n">
        <v>0.032</v>
      </c>
    </row>
    <row r="188" customFormat="false" ht="12.75" hidden="false" customHeight="true" outlineLevel="0" collapsed="false">
      <c r="A188" s="1" t="n">
        <v>8673</v>
      </c>
      <c r="B188" s="1" t="n">
        <v>0.013</v>
      </c>
      <c r="C188" s="1" t="n">
        <v>8673</v>
      </c>
      <c r="D188" s="1" t="n">
        <v>0.075</v>
      </c>
      <c r="E188" s="1" t="n">
        <v>8673</v>
      </c>
      <c r="F188" s="1" t="n">
        <v>0.026</v>
      </c>
      <c r="G188" s="1" t="n">
        <v>8673</v>
      </c>
      <c r="H188" s="1" t="n">
        <v>0.032</v>
      </c>
    </row>
    <row r="189" customFormat="false" ht="12.75" hidden="false" customHeight="true" outlineLevel="0" collapsed="false">
      <c r="A189" s="1" t="n">
        <v>8722</v>
      </c>
      <c r="B189" s="1" t="n">
        <v>0.013</v>
      </c>
      <c r="C189" s="1" t="n">
        <v>8722</v>
      </c>
      <c r="D189" s="1" t="n">
        <v>0.075</v>
      </c>
      <c r="E189" s="1" t="n">
        <v>8722</v>
      </c>
      <c r="F189" s="1" t="n">
        <v>0.026</v>
      </c>
      <c r="G189" s="1" t="n">
        <v>8722</v>
      </c>
      <c r="H189" s="1" t="n">
        <v>0.032</v>
      </c>
    </row>
    <row r="190" customFormat="false" ht="12.75" hidden="false" customHeight="true" outlineLevel="0" collapsed="false">
      <c r="A190" s="1" t="n">
        <v>8771</v>
      </c>
      <c r="B190" s="1" t="n">
        <v>0.013</v>
      </c>
      <c r="C190" s="1" t="n">
        <v>8771</v>
      </c>
      <c r="D190" s="1" t="n">
        <v>0.075</v>
      </c>
      <c r="E190" s="1" t="n">
        <v>8771</v>
      </c>
      <c r="F190" s="1" t="n">
        <v>0.027</v>
      </c>
      <c r="G190" s="1" t="n">
        <v>8771</v>
      </c>
      <c r="H190" s="1" t="n">
        <v>0.032</v>
      </c>
    </row>
    <row r="191" customFormat="false" ht="12.75" hidden="false" customHeight="true" outlineLevel="0" collapsed="false">
      <c r="A191" s="1" t="n">
        <v>8820</v>
      </c>
      <c r="B191" s="1" t="n">
        <v>0.013</v>
      </c>
      <c r="C191" s="1" t="n">
        <v>8820</v>
      </c>
      <c r="D191" s="1" t="n">
        <v>0.076</v>
      </c>
      <c r="E191" s="1" t="n">
        <v>8820</v>
      </c>
      <c r="F191" s="1" t="n">
        <v>0.027</v>
      </c>
      <c r="G191" s="1" t="n">
        <v>8820</v>
      </c>
      <c r="H191" s="1" t="n">
        <v>0.032</v>
      </c>
    </row>
    <row r="192" customFormat="false" ht="12.75" hidden="false" customHeight="true" outlineLevel="0" collapsed="false">
      <c r="A192" s="1" t="n">
        <v>8869</v>
      </c>
      <c r="B192" s="1" t="n">
        <v>0.013</v>
      </c>
      <c r="C192" s="1" t="n">
        <v>8869</v>
      </c>
      <c r="D192" s="1" t="n">
        <v>0.075</v>
      </c>
      <c r="E192" s="1" t="n">
        <v>8869</v>
      </c>
      <c r="F192" s="1" t="n">
        <v>0.027</v>
      </c>
      <c r="G192" s="1" t="n">
        <v>8869</v>
      </c>
      <c r="H192" s="1" t="n">
        <v>0.032</v>
      </c>
    </row>
    <row r="193" customFormat="false" ht="12.75" hidden="false" customHeight="true" outlineLevel="0" collapsed="false">
      <c r="A193" s="1" t="n">
        <v>8918</v>
      </c>
      <c r="B193" s="1" t="n">
        <v>0.012</v>
      </c>
      <c r="C193" s="1" t="n">
        <v>8918</v>
      </c>
      <c r="D193" s="1" t="n">
        <v>0.076</v>
      </c>
      <c r="E193" s="1" t="n">
        <v>8918</v>
      </c>
      <c r="F193" s="1" t="n">
        <v>0.028</v>
      </c>
      <c r="G193" s="1" t="n">
        <v>8918</v>
      </c>
      <c r="H193" s="1" t="n">
        <v>0.032</v>
      </c>
    </row>
    <row r="194" customFormat="false" ht="12.75" hidden="false" customHeight="true" outlineLevel="0" collapsed="false">
      <c r="A194" s="1" t="n">
        <v>8967</v>
      </c>
      <c r="B194" s="1" t="n">
        <v>0.013</v>
      </c>
      <c r="C194" s="1" t="n">
        <v>8967</v>
      </c>
      <c r="D194" s="1" t="n">
        <v>0.077</v>
      </c>
      <c r="E194" s="1" t="n">
        <v>8967</v>
      </c>
      <c r="F194" s="1" t="n">
        <v>0.027</v>
      </c>
      <c r="G194" s="1" t="n">
        <v>8967</v>
      </c>
      <c r="H194" s="1" t="n">
        <v>0.032</v>
      </c>
    </row>
    <row r="195" customFormat="false" ht="12.75" hidden="false" customHeight="true" outlineLevel="0" collapsed="false">
      <c r="A195" s="1" t="n">
        <v>9016</v>
      </c>
      <c r="B195" s="1" t="n">
        <v>0.013</v>
      </c>
      <c r="C195" s="1" t="n">
        <v>9016</v>
      </c>
      <c r="D195" s="1" t="n">
        <v>0.077</v>
      </c>
      <c r="E195" s="1" t="n">
        <v>9016</v>
      </c>
      <c r="F195" s="1" t="n">
        <v>0.027</v>
      </c>
      <c r="G195" s="1" t="n">
        <v>9016</v>
      </c>
      <c r="H195" s="1" t="n">
        <v>0.033</v>
      </c>
    </row>
    <row r="196" customFormat="false" ht="12.75" hidden="false" customHeight="true" outlineLevel="0" collapsed="false">
      <c r="A196" s="1" t="n">
        <v>9065</v>
      </c>
      <c r="B196" s="1" t="n">
        <v>0.014</v>
      </c>
      <c r="C196" s="1" t="n">
        <v>9065</v>
      </c>
      <c r="D196" s="1" t="n">
        <v>0.077</v>
      </c>
      <c r="E196" s="1" t="n">
        <v>9065</v>
      </c>
      <c r="F196" s="1" t="n">
        <v>0.028</v>
      </c>
      <c r="G196" s="1" t="n">
        <v>9065</v>
      </c>
      <c r="H196" s="1" t="n">
        <v>0.032</v>
      </c>
    </row>
    <row r="197" customFormat="false" ht="12.75" hidden="false" customHeight="true" outlineLevel="0" collapsed="false">
      <c r="A197" s="1" t="n">
        <v>9114</v>
      </c>
      <c r="B197" s="1" t="n">
        <v>0.013</v>
      </c>
      <c r="C197" s="1" t="n">
        <v>9114</v>
      </c>
      <c r="D197" s="1" t="n">
        <v>0.078</v>
      </c>
      <c r="E197" s="1" t="n">
        <v>9114</v>
      </c>
      <c r="F197" s="1" t="n">
        <v>0.028</v>
      </c>
      <c r="G197" s="1" t="n">
        <v>9114</v>
      </c>
      <c r="H197" s="1" t="n">
        <v>0.032</v>
      </c>
    </row>
    <row r="198" customFormat="false" ht="12.75" hidden="false" customHeight="true" outlineLevel="0" collapsed="false">
      <c r="A198" s="1" t="n">
        <v>9163</v>
      </c>
      <c r="B198" s="1" t="n">
        <v>0.013</v>
      </c>
      <c r="C198" s="1" t="n">
        <v>9163</v>
      </c>
      <c r="D198" s="1" t="n">
        <v>0.078</v>
      </c>
      <c r="E198" s="1" t="n">
        <v>9163</v>
      </c>
      <c r="F198" s="1" t="n">
        <v>0.028</v>
      </c>
      <c r="G198" s="1" t="n">
        <v>9163</v>
      </c>
      <c r="H198" s="1" t="n">
        <v>0.033</v>
      </c>
    </row>
    <row r="199" customFormat="false" ht="12.75" hidden="false" customHeight="true" outlineLevel="0" collapsed="false">
      <c r="A199" s="1" t="n">
        <v>9212</v>
      </c>
      <c r="B199" s="1" t="n">
        <v>0.013</v>
      </c>
      <c r="C199" s="1" t="n">
        <v>9212</v>
      </c>
      <c r="D199" s="1" t="n">
        <v>0.078</v>
      </c>
      <c r="E199" s="1" t="n">
        <v>9212</v>
      </c>
      <c r="F199" s="1" t="n">
        <v>0.028</v>
      </c>
      <c r="G199" s="1" t="n">
        <v>9212</v>
      </c>
      <c r="H199" s="1" t="n">
        <v>0.033</v>
      </c>
    </row>
    <row r="200" customFormat="false" ht="12.75" hidden="false" customHeight="true" outlineLevel="0" collapsed="false">
      <c r="A200" s="1" t="n">
        <v>9261</v>
      </c>
      <c r="B200" s="1" t="n">
        <v>0.014</v>
      </c>
      <c r="C200" s="1" t="n">
        <v>9261</v>
      </c>
      <c r="D200" s="1" t="n">
        <v>0.079</v>
      </c>
      <c r="E200" s="1" t="n">
        <v>9261</v>
      </c>
      <c r="F200" s="1" t="n">
        <v>0.028</v>
      </c>
      <c r="G200" s="1" t="n">
        <v>9261</v>
      </c>
      <c r="H200" s="1" t="n">
        <v>0.033</v>
      </c>
    </row>
    <row r="201" customFormat="false" ht="12.75" hidden="false" customHeight="true" outlineLevel="0" collapsed="false">
      <c r="A201" s="1" t="n">
        <v>9310</v>
      </c>
      <c r="B201" s="1" t="n">
        <v>0.014</v>
      </c>
      <c r="C201" s="1" t="n">
        <v>9310</v>
      </c>
      <c r="D201" s="1" t="n">
        <v>0.079</v>
      </c>
      <c r="E201" s="1" t="n">
        <v>9310</v>
      </c>
      <c r="F201" s="1" t="n">
        <v>0.028</v>
      </c>
      <c r="G201" s="1" t="n">
        <v>9310</v>
      </c>
      <c r="H201" s="1" t="n">
        <v>0.033</v>
      </c>
    </row>
    <row r="202" customFormat="false" ht="12.75" hidden="false" customHeight="true" outlineLevel="0" collapsed="false">
      <c r="A202" s="1" t="n">
        <v>9359</v>
      </c>
      <c r="B202" s="1" t="n">
        <v>0.014</v>
      </c>
      <c r="C202" s="1" t="n">
        <v>9359</v>
      </c>
      <c r="D202" s="1" t="n">
        <v>0.08</v>
      </c>
      <c r="E202" s="1" t="n">
        <v>9359</v>
      </c>
      <c r="F202" s="1" t="n">
        <v>0.028</v>
      </c>
      <c r="G202" s="1" t="n">
        <v>9359</v>
      </c>
      <c r="H202" s="1" t="n">
        <v>0.033</v>
      </c>
    </row>
    <row r="203" customFormat="false" ht="12.75" hidden="false" customHeight="true" outlineLevel="0" collapsed="false">
      <c r="A203" s="1" t="n">
        <v>9408</v>
      </c>
      <c r="B203" s="1" t="n">
        <v>0.014</v>
      </c>
      <c r="C203" s="1" t="n">
        <v>9408</v>
      </c>
      <c r="D203" s="1" t="n">
        <v>0.08</v>
      </c>
      <c r="E203" s="1" t="n">
        <v>9408</v>
      </c>
      <c r="F203" s="1" t="n">
        <v>0.028</v>
      </c>
      <c r="G203" s="1" t="n">
        <v>9408</v>
      </c>
      <c r="H203" s="1" t="n">
        <v>0.034</v>
      </c>
    </row>
    <row r="204" customFormat="false" ht="12.75" hidden="false" customHeight="true" outlineLevel="0" collapsed="false">
      <c r="A204" s="1" t="n">
        <v>9457</v>
      </c>
      <c r="B204" s="1" t="n">
        <v>0.014</v>
      </c>
      <c r="C204" s="1" t="n">
        <v>9457</v>
      </c>
      <c r="D204" s="1" t="n">
        <v>0.08</v>
      </c>
      <c r="E204" s="1" t="n">
        <v>9457</v>
      </c>
      <c r="F204" s="1" t="n">
        <v>0.028</v>
      </c>
      <c r="G204" s="1" t="n">
        <v>9457</v>
      </c>
      <c r="H204" s="1" t="n">
        <v>0.033</v>
      </c>
    </row>
    <row r="205" customFormat="false" ht="12.75" hidden="false" customHeight="true" outlineLevel="0" collapsed="false">
      <c r="A205" s="1" t="n">
        <v>9506</v>
      </c>
      <c r="B205" s="1" t="n">
        <v>0.014</v>
      </c>
      <c r="C205" s="1" t="n">
        <v>9506</v>
      </c>
      <c r="D205" s="1" t="n">
        <v>0.08</v>
      </c>
      <c r="E205" s="1" t="n">
        <v>9506</v>
      </c>
      <c r="F205" s="1" t="n">
        <v>0.029</v>
      </c>
      <c r="G205" s="1" t="n">
        <v>9506</v>
      </c>
      <c r="H205" s="1" t="n">
        <v>0.033</v>
      </c>
    </row>
    <row r="206" customFormat="false" ht="12.75" hidden="false" customHeight="true" outlineLevel="0" collapsed="false">
      <c r="A206" s="1" t="n">
        <v>9555</v>
      </c>
      <c r="B206" s="1" t="n">
        <v>0.014</v>
      </c>
      <c r="C206" s="1" t="n">
        <v>9555</v>
      </c>
      <c r="D206" s="1" t="n">
        <v>0.081</v>
      </c>
      <c r="E206" s="1" t="n">
        <v>9555</v>
      </c>
      <c r="F206" s="1" t="n">
        <v>0.029</v>
      </c>
      <c r="G206" s="1" t="n">
        <v>9555</v>
      </c>
      <c r="H206" s="1" t="n">
        <v>0.034</v>
      </c>
    </row>
    <row r="207" customFormat="false" ht="12.75" hidden="false" customHeight="true" outlineLevel="0" collapsed="false">
      <c r="A207" s="1" t="n">
        <v>9604</v>
      </c>
      <c r="B207" s="1" t="n">
        <v>0.014</v>
      </c>
      <c r="C207" s="1" t="n">
        <v>9604</v>
      </c>
      <c r="D207" s="1" t="n">
        <v>0.081</v>
      </c>
      <c r="E207" s="1" t="n">
        <v>9604</v>
      </c>
      <c r="F207" s="1" t="n">
        <v>0.029</v>
      </c>
      <c r="G207" s="1" t="n">
        <v>9604</v>
      </c>
      <c r="H207" s="1" t="n">
        <v>0.034</v>
      </c>
    </row>
    <row r="208" customFormat="false" ht="12.75" hidden="false" customHeight="true" outlineLevel="0" collapsed="false">
      <c r="A208" s="1" t="n">
        <v>9653</v>
      </c>
      <c r="B208" s="1" t="n">
        <v>0.014</v>
      </c>
      <c r="C208" s="1" t="n">
        <v>9653</v>
      </c>
      <c r="D208" s="1" t="n">
        <v>0.082</v>
      </c>
      <c r="E208" s="1" t="n">
        <v>9653</v>
      </c>
      <c r="F208" s="1" t="n">
        <v>0.029</v>
      </c>
      <c r="G208" s="1" t="n">
        <v>9653</v>
      </c>
      <c r="H208" s="1" t="n">
        <v>0.033</v>
      </c>
    </row>
    <row r="209" customFormat="false" ht="12.75" hidden="false" customHeight="true" outlineLevel="0" collapsed="false">
      <c r="A209" s="1" t="n">
        <v>9702</v>
      </c>
      <c r="B209" s="1" t="n">
        <v>0.015</v>
      </c>
      <c r="C209" s="1" t="n">
        <v>9702</v>
      </c>
      <c r="D209" s="1" t="n">
        <v>0.081</v>
      </c>
      <c r="E209" s="1" t="n">
        <v>9702</v>
      </c>
      <c r="F209" s="1" t="n">
        <v>0.029</v>
      </c>
      <c r="G209" s="1" t="n">
        <v>9702</v>
      </c>
      <c r="H209" s="1" t="n">
        <v>0.034</v>
      </c>
    </row>
    <row r="210" customFormat="false" ht="12.75" hidden="false" customHeight="true" outlineLevel="0" collapsed="false">
      <c r="A210" s="1" t="n">
        <v>9751</v>
      </c>
      <c r="B210" s="1" t="n">
        <v>0.015</v>
      </c>
      <c r="C210" s="1" t="n">
        <v>9751</v>
      </c>
      <c r="D210" s="1" t="n">
        <v>0.082</v>
      </c>
      <c r="E210" s="1" t="n">
        <v>9751</v>
      </c>
      <c r="F210" s="1" t="n">
        <v>0.029</v>
      </c>
      <c r="G210" s="1" t="n">
        <v>9751</v>
      </c>
      <c r="H210" s="1" t="n">
        <v>0.035</v>
      </c>
    </row>
    <row r="211" customFormat="false" ht="12.75" hidden="false" customHeight="true" outlineLevel="0" collapsed="false">
      <c r="A211" s="1" t="n">
        <v>9800</v>
      </c>
      <c r="B211" s="1" t="n">
        <v>0.015</v>
      </c>
      <c r="C211" s="1" t="n">
        <v>9800</v>
      </c>
      <c r="D211" s="1" t="n">
        <v>0.082</v>
      </c>
      <c r="E211" s="1" t="n">
        <v>9800</v>
      </c>
      <c r="F211" s="1" t="n">
        <v>0.029</v>
      </c>
      <c r="G211" s="1" t="n">
        <v>9800</v>
      </c>
      <c r="H211" s="1" t="n">
        <v>0.034</v>
      </c>
    </row>
    <row r="212" customFormat="false" ht="12.75" hidden="false" customHeight="true" outlineLevel="0" collapsed="false">
      <c r="A212" s="1" t="n">
        <v>9849</v>
      </c>
      <c r="B212" s="1" t="n">
        <v>0.016</v>
      </c>
      <c r="C212" s="1" t="n">
        <v>9849</v>
      </c>
      <c r="D212" s="1" t="n">
        <v>0.083</v>
      </c>
      <c r="E212" s="1" t="n">
        <v>9849</v>
      </c>
      <c r="F212" s="1" t="n">
        <v>0.03</v>
      </c>
      <c r="G212" s="1" t="n">
        <v>9849</v>
      </c>
      <c r="H212" s="1" t="n">
        <v>0.035</v>
      </c>
    </row>
    <row r="213" customFormat="false" ht="12.75" hidden="false" customHeight="true" outlineLevel="0" collapsed="false">
      <c r="A213" s="1" t="n">
        <v>9898</v>
      </c>
      <c r="B213" s="1" t="n">
        <v>0.015</v>
      </c>
      <c r="C213" s="1" t="n">
        <v>9898</v>
      </c>
      <c r="D213" s="1" t="n">
        <v>0.083</v>
      </c>
      <c r="E213" s="1" t="n">
        <v>9898</v>
      </c>
      <c r="F213" s="1" t="n">
        <v>0.029</v>
      </c>
      <c r="G213" s="1" t="n">
        <v>9898</v>
      </c>
      <c r="H213" s="1" t="n">
        <v>0.034</v>
      </c>
    </row>
    <row r="214" customFormat="false" ht="12.75" hidden="false" customHeight="true" outlineLevel="0" collapsed="false">
      <c r="A214" s="1" t="n">
        <v>9947</v>
      </c>
      <c r="B214" s="1" t="n">
        <v>0.015</v>
      </c>
      <c r="C214" s="1" t="n">
        <v>9947</v>
      </c>
      <c r="D214" s="1" t="n">
        <v>0.084</v>
      </c>
      <c r="E214" s="1" t="n">
        <v>9947</v>
      </c>
      <c r="F214" s="1" t="n">
        <v>0.03</v>
      </c>
      <c r="G214" s="1" t="n">
        <v>9947</v>
      </c>
      <c r="H214" s="1" t="n">
        <v>0.035</v>
      </c>
    </row>
    <row r="215" customFormat="false" ht="12.75" hidden="false" customHeight="true" outlineLevel="0" collapsed="false">
      <c r="A215" s="1" t="n">
        <v>9996</v>
      </c>
      <c r="B215" s="1" t="n">
        <v>0.015</v>
      </c>
      <c r="C215" s="1" t="n">
        <v>9996</v>
      </c>
      <c r="D215" s="1" t="n">
        <v>0.084</v>
      </c>
      <c r="E215" s="1" t="n">
        <v>9996</v>
      </c>
      <c r="F215" s="1" t="n">
        <v>0.03</v>
      </c>
      <c r="G215" s="1" t="n">
        <v>9996</v>
      </c>
      <c r="H215" s="1" t="n">
        <v>0.035</v>
      </c>
    </row>
    <row r="216" customFormat="false" ht="12.75" hidden="false" customHeight="true" outlineLevel="0" collapsed="false">
      <c r="A216" s="1" t="n">
        <v>10045</v>
      </c>
      <c r="B216" s="1" t="n">
        <v>0.015</v>
      </c>
      <c r="C216" s="1" t="n">
        <v>10045</v>
      </c>
      <c r="D216" s="1" t="n">
        <v>0.084</v>
      </c>
      <c r="E216" s="1" t="n">
        <v>10045</v>
      </c>
      <c r="F216" s="1" t="n">
        <v>0.03</v>
      </c>
      <c r="G216" s="1" t="n">
        <v>10045</v>
      </c>
      <c r="H216" s="1" t="n">
        <v>0.035</v>
      </c>
    </row>
    <row r="217" customFormat="false" ht="12.75" hidden="false" customHeight="true" outlineLevel="0" collapsed="false">
      <c r="A217" s="1" t="n">
        <v>10094</v>
      </c>
      <c r="B217" s="1" t="n">
        <v>0.014</v>
      </c>
      <c r="C217" s="1" t="n">
        <v>10094</v>
      </c>
      <c r="D217" s="1" t="n">
        <v>0.085</v>
      </c>
      <c r="E217" s="1" t="n">
        <v>10094</v>
      </c>
      <c r="F217" s="1" t="n">
        <v>0.03</v>
      </c>
      <c r="G217" s="1" t="n">
        <v>10094</v>
      </c>
      <c r="H217" s="1" t="n">
        <v>0.035</v>
      </c>
    </row>
    <row r="218" customFormat="false" ht="12.75" hidden="false" customHeight="true" outlineLevel="0" collapsed="false">
      <c r="A218" s="1" t="n">
        <v>10143</v>
      </c>
      <c r="B218" s="1" t="n">
        <v>0.015</v>
      </c>
      <c r="C218" s="1" t="n">
        <v>10143</v>
      </c>
      <c r="D218" s="1" t="n">
        <v>0.085</v>
      </c>
      <c r="E218" s="1" t="n">
        <v>10143</v>
      </c>
      <c r="F218" s="1" t="n">
        <v>0.03</v>
      </c>
      <c r="G218" s="1" t="n">
        <v>10143</v>
      </c>
      <c r="H218" s="1" t="n">
        <v>0.035</v>
      </c>
    </row>
    <row r="219" customFormat="false" ht="12.75" hidden="false" customHeight="true" outlineLevel="0" collapsed="false">
      <c r="A219" s="1" t="n">
        <v>10192</v>
      </c>
      <c r="B219" s="1" t="n">
        <v>0.016</v>
      </c>
      <c r="C219" s="1" t="n">
        <v>10192</v>
      </c>
      <c r="D219" s="1" t="n">
        <v>0.086</v>
      </c>
      <c r="E219" s="1" t="n">
        <v>10192</v>
      </c>
      <c r="F219" s="1" t="n">
        <v>0.031</v>
      </c>
      <c r="G219" s="1" t="n">
        <v>10192</v>
      </c>
      <c r="H219" s="1" t="n">
        <v>0.035</v>
      </c>
    </row>
    <row r="220" customFormat="false" ht="12.75" hidden="false" customHeight="true" outlineLevel="0" collapsed="false">
      <c r="A220" s="1" t="n">
        <v>10241</v>
      </c>
      <c r="B220" s="1" t="n">
        <v>0.014</v>
      </c>
      <c r="C220" s="1" t="n">
        <v>10241</v>
      </c>
      <c r="D220" s="1" t="n">
        <v>0.086</v>
      </c>
      <c r="E220" s="1" t="n">
        <v>10241</v>
      </c>
      <c r="F220" s="1" t="n">
        <v>0.031</v>
      </c>
      <c r="G220" s="1" t="n">
        <v>10241</v>
      </c>
      <c r="H220" s="1" t="n">
        <v>0.035</v>
      </c>
    </row>
    <row r="221" customFormat="false" ht="12.75" hidden="false" customHeight="true" outlineLevel="0" collapsed="false">
      <c r="A221" s="1" t="n">
        <v>10290</v>
      </c>
      <c r="B221" s="1" t="n">
        <v>0.016</v>
      </c>
      <c r="C221" s="1" t="n">
        <v>10290</v>
      </c>
      <c r="D221" s="1" t="n">
        <v>0.087</v>
      </c>
      <c r="E221" s="1" t="n">
        <v>10290</v>
      </c>
      <c r="F221" s="1" t="n">
        <v>0.031</v>
      </c>
      <c r="G221" s="1" t="n">
        <v>10290</v>
      </c>
      <c r="H221" s="1" t="n">
        <v>0.035</v>
      </c>
    </row>
    <row r="222" customFormat="false" ht="12.75" hidden="false" customHeight="true" outlineLevel="0" collapsed="false">
      <c r="A222" s="1" t="n">
        <v>10339</v>
      </c>
      <c r="B222" s="1" t="n">
        <v>0.015</v>
      </c>
      <c r="C222" s="1" t="n">
        <v>10339</v>
      </c>
      <c r="D222" s="1" t="n">
        <v>0.087</v>
      </c>
      <c r="E222" s="1" t="n">
        <v>10339</v>
      </c>
      <c r="F222" s="1" t="n">
        <v>0.031</v>
      </c>
      <c r="G222" s="1" t="n">
        <v>10339</v>
      </c>
      <c r="H222" s="1" t="n">
        <v>0.036</v>
      </c>
    </row>
    <row r="223" customFormat="false" ht="12.75" hidden="false" customHeight="true" outlineLevel="0" collapsed="false">
      <c r="A223" s="1" t="n">
        <v>10388</v>
      </c>
      <c r="B223" s="1" t="n">
        <v>0.015</v>
      </c>
      <c r="C223" s="1" t="n">
        <v>10388</v>
      </c>
      <c r="D223" s="1" t="n">
        <v>0.087</v>
      </c>
      <c r="E223" s="1" t="n">
        <v>10388</v>
      </c>
      <c r="F223" s="1" t="n">
        <v>0.03</v>
      </c>
      <c r="G223" s="1" t="n">
        <v>10388</v>
      </c>
      <c r="H223" s="1" t="n">
        <v>0.036</v>
      </c>
    </row>
    <row r="224" customFormat="false" ht="12.75" hidden="false" customHeight="true" outlineLevel="0" collapsed="false">
      <c r="A224" s="1" t="n">
        <v>10437</v>
      </c>
      <c r="B224" s="1" t="n">
        <v>0.015</v>
      </c>
      <c r="C224" s="1" t="n">
        <v>10437</v>
      </c>
      <c r="D224" s="1" t="n">
        <v>0.088</v>
      </c>
      <c r="E224" s="1" t="n">
        <v>10437</v>
      </c>
      <c r="F224" s="1" t="n">
        <v>0.031</v>
      </c>
      <c r="G224" s="1" t="n">
        <v>10437</v>
      </c>
      <c r="H224" s="1" t="n">
        <v>0.036</v>
      </c>
    </row>
    <row r="225" customFormat="false" ht="12.75" hidden="false" customHeight="true" outlineLevel="0" collapsed="false">
      <c r="A225" s="1" t="n">
        <v>10486</v>
      </c>
      <c r="B225" s="1" t="n">
        <v>0.015</v>
      </c>
      <c r="C225" s="1" t="n">
        <v>10486</v>
      </c>
      <c r="D225" s="1" t="n">
        <v>0.088</v>
      </c>
      <c r="E225" s="1" t="n">
        <v>10486</v>
      </c>
      <c r="F225" s="1" t="n">
        <v>0.031</v>
      </c>
      <c r="G225" s="1" t="n">
        <v>10486</v>
      </c>
      <c r="H225" s="1" t="n">
        <v>0.036</v>
      </c>
    </row>
    <row r="226" customFormat="false" ht="12.75" hidden="false" customHeight="true" outlineLevel="0" collapsed="false">
      <c r="A226" s="1" t="n">
        <v>10535</v>
      </c>
      <c r="B226" s="1" t="n">
        <v>0.016</v>
      </c>
      <c r="C226" s="1" t="n">
        <v>10535</v>
      </c>
      <c r="D226" s="1" t="n">
        <v>0.088</v>
      </c>
      <c r="E226" s="1" t="n">
        <v>10535</v>
      </c>
      <c r="F226" s="1" t="n">
        <v>0.031</v>
      </c>
      <c r="G226" s="1" t="n">
        <v>10535</v>
      </c>
      <c r="H226" s="1" t="n">
        <v>0.035</v>
      </c>
    </row>
    <row r="227" customFormat="false" ht="12.75" hidden="false" customHeight="true" outlineLevel="0" collapsed="false">
      <c r="A227" s="1" t="n">
        <v>10584</v>
      </c>
      <c r="B227" s="1" t="n">
        <v>0.016</v>
      </c>
      <c r="C227" s="1" t="n">
        <v>10584</v>
      </c>
      <c r="D227" s="1" t="n">
        <v>0.088</v>
      </c>
      <c r="E227" s="1" t="n">
        <v>10584</v>
      </c>
      <c r="F227" s="1" t="n">
        <v>0.032</v>
      </c>
      <c r="G227" s="1" t="n">
        <v>10584</v>
      </c>
      <c r="H227" s="1" t="n">
        <v>0.036</v>
      </c>
    </row>
    <row r="228" customFormat="false" ht="12.75" hidden="false" customHeight="true" outlineLevel="0" collapsed="false">
      <c r="A228" s="1" t="n">
        <v>10633</v>
      </c>
      <c r="B228" s="1" t="n">
        <v>0.016</v>
      </c>
      <c r="C228" s="1" t="n">
        <v>10633</v>
      </c>
      <c r="D228" s="1" t="n">
        <v>0.089</v>
      </c>
      <c r="E228" s="1" t="n">
        <v>10633</v>
      </c>
      <c r="F228" s="1" t="n">
        <v>0.031</v>
      </c>
      <c r="G228" s="1" t="n">
        <v>10633</v>
      </c>
      <c r="H228" s="1" t="n">
        <v>0.037</v>
      </c>
    </row>
    <row r="229" customFormat="false" ht="12.75" hidden="false" customHeight="true" outlineLevel="0" collapsed="false">
      <c r="A229" s="1" t="n">
        <v>10682</v>
      </c>
      <c r="B229" s="1" t="n">
        <v>0.016</v>
      </c>
      <c r="C229" s="1" t="n">
        <v>10682</v>
      </c>
      <c r="D229" s="1" t="n">
        <v>0.089</v>
      </c>
      <c r="E229" s="1" t="n">
        <v>10682</v>
      </c>
      <c r="F229" s="1" t="n">
        <v>0.031</v>
      </c>
      <c r="G229" s="1" t="n">
        <v>10682</v>
      </c>
      <c r="H229" s="1" t="n">
        <v>0.037</v>
      </c>
    </row>
    <row r="230" customFormat="false" ht="12.75" hidden="false" customHeight="true" outlineLevel="0" collapsed="false">
      <c r="A230" s="1" t="n">
        <v>10731</v>
      </c>
      <c r="B230" s="1" t="n">
        <v>0.016</v>
      </c>
      <c r="C230" s="1" t="n">
        <v>10731</v>
      </c>
      <c r="D230" s="1" t="n">
        <v>0.089</v>
      </c>
      <c r="E230" s="1" t="n">
        <v>10731</v>
      </c>
      <c r="F230" s="1" t="n">
        <v>0.031</v>
      </c>
      <c r="G230" s="1" t="n">
        <v>10731</v>
      </c>
      <c r="H230" s="1" t="n">
        <v>0.037</v>
      </c>
    </row>
    <row r="231" customFormat="false" ht="12.75" hidden="false" customHeight="true" outlineLevel="0" collapsed="false">
      <c r="A231" s="1" t="n">
        <v>10780</v>
      </c>
      <c r="B231" s="1" t="n">
        <v>0.016</v>
      </c>
      <c r="C231" s="1" t="n">
        <v>10780</v>
      </c>
      <c r="D231" s="1" t="n">
        <v>0.089</v>
      </c>
      <c r="E231" s="1" t="n">
        <v>10780</v>
      </c>
      <c r="F231" s="1" t="n">
        <v>0.031</v>
      </c>
      <c r="G231" s="1" t="n">
        <v>10780</v>
      </c>
      <c r="H231" s="1" t="n">
        <v>0.037</v>
      </c>
    </row>
    <row r="232" customFormat="false" ht="12.75" hidden="false" customHeight="true" outlineLevel="0" collapsed="false">
      <c r="A232" s="1" t="n">
        <v>10829</v>
      </c>
      <c r="B232" s="1" t="n">
        <v>0.016</v>
      </c>
      <c r="C232" s="1" t="n">
        <v>10829</v>
      </c>
      <c r="D232" s="1" t="n">
        <v>0.09</v>
      </c>
      <c r="E232" s="1" t="n">
        <v>10829</v>
      </c>
      <c r="F232" s="1" t="n">
        <v>0.032</v>
      </c>
      <c r="G232" s="1" t="n">
        <v>10829</v>
      </c>
      <c r="H232" s="1" t="n">
        <v>0.037</v>
      </c>
    </row>
    <row r="233" customFormat="false" ht="12.75" hidden="false" customHeight="true" outlineLevel="0" collapsed="false">
      <c r="A233" s="1" t="n">
        <v>10878</v>
      </c>
      <c r="B233" s="1" t="n">
        <v>0.016</v>
      </c>
      <c r="C233" s="1" t="n">
        <v>10878</v>
      </c>
      <c r="D233" s="1" t="n">
        <v>0.091</v>
      </c>
      <c r="E233" s="1" t="n">
        <v>10878</v>
      </c>
      <c r="F233" s="1" t="n">
        <v>0.032</v>
      </c>
      <c r="G233" s="1" t="n">
        <v>10878</v>
      </c>
      <c r="H233" s="1" t="n">
        <v>0.036</v>
      </c>
    </row>
    <row r="234" customFormat="false" ht="12.75" hidden="false" customHeight="true" outlineLevel="0" collapsed="false">
      <c r="A234" s="1" t="n">
        <v>10927</v>
      </c>
      <c r="B234" s="1" t="n">
        <v>0.016</v>
      </c>
      <c r="C234" s="1" t="n">
        <v>10927</v>
      </c>
      <c r="D234" s="1" t="n">
        <v>0.09</v>
      </c>
      <c r="E234" s="1" t="n">
        <v>10927</v>
      </c>
      <c r="F234" s="1" t="n">
        <v>0.032</v>
      </c>
      <c r="G234" s="1" t="n">
        <v>10927</v>
      </c>
      <c r="H234" s="1" t="n">
        <v>0.037</v>
      </c>
    </row>
    <row r="235" customFormat="false" ht="12.75" hidden="false" customHeight="true" outlineLevel="0" collapsed="false">
      <c r="A235" s="1" t="n">
        <v>10976</v>
      </c>
      <c r="B235" s="1" t="n">
        <v>0.016</v>
      </c>
      <c r="C235" s="1" t="n">
        <v>10976</v>
      </c>
      <c r="D235" s="1" t="n">
        <v>0.091</v>
      </c>
      <c r="E235" s="1" t="n">
        <v>10976</v>
      </c>
      <c r="F235" s="1" t="n">
        <v>0.032</v>
      </c>
      <c r="G235" s="1" t="n">
        <v>10976</v>
      </c>
      <c r="H235" s="1" t="n">
        <v>0.037</v>
      </c>
    </row>
    <row r="236" customFormat="false" ht="12.75" hidden="false" customHeight="true" outlineLevel="0" collapsed="false">
      <c r="A236" s="1" t="n">
        <v>11025</v>
      </c>
      <c r="B236" s="1" t="n">
        <v>0.017</v>
      </c>
      <c r="C236" s="1" t="n">
        <v>11025</v>
      </c>
      <c r="D236" s="1" t="n">
        <v>0.091</v>
      </c>
      <c r="E236" s="1" t="n">
        <v>11025</v>
      </c>
      <c r="F236" s="1" t="n">
        <v>0.032</v>
      </c>
      <c r="G236" s="1" t="n">
        <v>11025</v>
      </c>
      <c r="H236" s="1" t="n">
        <v>0.037</v>
      </c>
    </row>
    <row r="237" customFormat="false" ht="12.75" hidden="false" customHeight="true" outlineLevel="0" collapsed="false">
      <c r="A237" s="1" t="n">
        <v>11074</v>
      </c>
      <c r="B237" s="1" t="n">
        <v>0.017</v>
      </c>
      <c r="C237" s="1" t="n">
        <v>11074</v>
      </c>
      <c r="D237" s="1" t="n">
        <v>0.092</v>
      </c>
      <c r="E237" s="1" t="n">
        <v>11074</v>
      </c>
      <c r="F237" s="1" t="n">
        <v>0.032</v>
      </c>
      <c r="G237" s="1" t="n">
        <v>11074</v>
      </c>
      <c r="H237" s="1" t="n">
        <v>0.038</v>
      </c>
    </row>
    <row r="238" customFormat="false" ht="12.75" hidden="false" customHeight="true" outlineLevel="0" collapsed="false">
      <c r="A238" s="1" t="n">
        <v>11123</v>
      </c>
      <c r="B238" s="1" t="n">
        <v>0.017</v>
      </c>
      <c r="C238" s="1" t="n">
        <v>11123</v>
      </c>
      <c r="D238" s="1" t="n">
        <v>0.092</v>
      </c>
      <c r="E238" s="1" t="n">
        <v>11123</v>
      </c>
      <c r="F238" s="1" t="n">
        <v>0.032</v>
      </c>
      <c r="G238" s="1" t="n">
        <v>11123</v>
      </c>
      <c r="H238" s="1" t="n">
        <v>0.038</v>
      </c>
    </row>
    <row r="239" customFormat="false" ht="12.75" hidden="false" customHeight="true" outlineLevel="0" collapsed="false">
      <c r="A239" s="1" t="n">
        <v>11172</v>
      </c>
      <c r="B239" s="1" t="n">
        <v>0.017</v>
      </c>
      <c r="C239" s="1" t="n">
        <v>11172</v>
      </c>
      <c r="D239" s="1" t="n">
        <v>0.093</v>
      </c>
      <c r="E239" s="1" t="n">
        <v>11172</v>
      </c>
      <c r="F239" s="1" t="n">
        <v>0.033</v>
      </c>
      <c r="G239" s="1" t="n">
        <v>11172</v>
      </c>
      <c r="H239" s="1" t="n">
        <v>0.038</v>
      </c>
    </row>
    <row r="240" customFormat="false" ht="12.75" hidden="false" customHeight="true" outlineLevel="0" collapsed="false">
      <c r="A240" s="1" t="n">
        <v>11221</v>
      </c>
      <c r="B240" s="1" t="n">
        <v>0.017</v>
      </c>
      <c r="C240" s="1" t="n">
        <v>11221</v>
      </c>
      <c r="D240" s="1" t="n">
        <v>0.093</v>
      </c>
      <c r="E240" s="1" t="n">
        <v>11221</v>
      </c>
      <c r="F240" s="1" t="n">
        <v>0.032</v>
      </c>
      <c r="G240" s="1" t="n">
        <v>11221</v>
      </c>
      <c r="H240" s="1" t="n">
        <v>0.038</v>
      </c>
    </row>
    <row r="241" customFormat="false" ht="12.75" hidden="false" customHeight="true" outlineLevel="0" collapsed="false">
      <c r="A241" s="1" t="n">
        <v>11270</v>
      </c>
      <c r="B241" s="1" t="n">
        <v>0.016</v>
      </c>
      <c r="C241" s="1" t="n">
        <v>11270</v>
      </c>
      <c r="D241" s="1" t="n">
        <v>0.093</v>
      </c>
      <c r="E241" s="1" t="n">
        <v>11270</v>
      </c>
      <c r="F241" s="1" t="n">
        <v>0.033</v>
      </c>
      <c r="G241" s="1" t="n">
        <v>11270</v>
      </c>
      <c r="H241" s="1" t="n">
        <v>0.038</v>
      </c>
    </row>
    <row r="242" customFormat="false" ht="12.75" hidden="false" customHeight="true" outlineLevel="0" collapsed="false">
      <c r="A242" s="1" t="n">
        <v>11319</v>
      </c>
      <c r="B242" s="1" t="n">
        <v>0.017</v>
      </c>
      <c r="C242" s="1" t="n">
        <v>11319</v>
      </c>
      <c r="D242" s="1" t="n">
        <v>0.093</v>
      </c>
      <c r="E242" s="1" t="n">
        <v>11319</v>
      </c>
      <c r="F242" s="1" t="n">
        <v>0.033</v>
      </c>
      <c r="G242" s="1" t="n">
        <v>11319</v>
      </c>
      <c r="H242" s="1" t="n">
        <v>0.037</v>
      </c>
    </row>
    <row r="243" customFormat="false" ht="12.75" hidden="false" customHeight="true" outlineLevel="0" collapsed="false">
      <c r="A243" s="1" t="n">
        <v>11368</v>
      </c>
      <c r="B243" s="1" t="n">
        <v>0.016</v>
      </c>
      <c r="C243" s="1" t="n">
        <v>11368</v>
      </c>
      <c r="D243" s="1" t="n">
        <v>0.094</v>
      </c>
      <c r="E243" s="1" t="n">
        <v>11368</v>
      </c>
      <c r="F243" s="1" t="n">
        <v>0.033</v>
      </c>
      <c r="G243" s="1" t="n">
        <v>11368</v>
      </c>
      <c r="H243" s="1" t="n">
        <v>0.038</v>
      </c>
    </row>
    <row r="244" customFormat="false" ht="12.75" hidden="false" customHeight="true" outlineLevel="0" collapsed="false">
      <c r="A244" s="1" t="n">
        <v>11417</v>
      </c>
      <c r="B244" s="1" t="n">
        <v>0.017</v>
      </c>
      <c r="C244" s="1" t="n">
        <v>11417</v>
      </c>
      <c r="D244" s="1" t="n">
        <v>0.094</v>
      </c>
      <c r="E244" s="1" t="n">
        <v>11417</v>
      </c>
      <c r="F244" s="1" t="n">
        <v>0.034</v>
      </c>
      <c r="G244" s="1" t="n">
        <v>11417</v>
      </c>
      <c r="H244" s="1" t="n">
        <v>0.038</v>
      </c>
    </row>
    <row r="245" customFormat="false" ht="12.75" hidden="false" customHeight="true" outlineLevel="0" collapsed="false">
      <c r="A245" s="1" t="n">
        <v>11466</v>
      </c>
      <c r="B245" s="1" t="n">
        <v>0.017</v>
      </c>
      <c r="C245" s="1" t="n">
        <v>11466</v>
      </c>
      <c r="D245" s="1" t="n">
        <v>0.094</v>
      </c>
      <c r="E245" s="1" t="n">
        <v>11466</v>
      </c>
      <c r="F245" s="1" t="n">
        <v>0.033</v>
      </c>
      <c r="G245" s="1" t="n">
        <v>11466</v>
      </c>
      <c r="H245" s="1" t="n">
        <v>0.039</v>
      </c>
    </row>
    <row r="246" customFormat="false" ht="12.75" hidden="false" customHeight="true" outlineLevel="0" collapsed="false">
      <c r="A246" s="1" t="n">
        <v>11515</v>
      </c>
      <c r="B246" s="1" t="n">
        <v>0.016</v>
      </c>
      <c r="C246" s="1" t="n">
        <v>11515</v>
      </c>
      <c r="D246" s="1" t="n">
        <v>0.095</v>
      </c>
      <c r="E246" s="1" t="n">
        <v>11515</v>
      </c>
      <c r="F246" s="1" t="n">
        <v>0.034</v>
      </c>
      <c r="G246" s="1" t="n">
        <v>11515</v>
      </c>
      <c r="H246" s="1" t="n">
        <v>0.039</v>
      </c>
    </row>
    <row r="247" customFormat="false" ht="12.75" hidden="false" customHeight="true" outlineLevel="0" collapsed="false">
      <c r="A247" s="1" t="n">
        <v>11564</v>
      </c>
      <c r="B247" s="1" t="n">
        <v>0.017</v>
      </c>
      <c r="C247" s="1" t="n">
        <v>11564</v>
      </c>
      <c r="D247" s="1" t="n">
        <v>0.095</v>
      </c>
      <c r="E247" s="1" t="n">
        <v>11564</v>
      </c>
      <c r="F247" s="1" t="n">
        <v>0.033</v>
      </c>
      <c r="G247" s="1" t="n">
        <v>11564</v>
      </c>
      <c r="H247" s="1" t="n">
        <v>0.039</v>
      </c>
    </row>
    <row r="248" customFormat="false" ht="12.75" hidden="false" customHeight="true" outlineLevel="0" collapsed="false">
      <c r="A248" s="1" t="n">
        <v>11613</v>
      </c>
      <c r="B248" s="1" t="n">
        <v>0.016</v>
      </c>
      <c r="C248" s="1" t="n">
        <v>11613</v>
      </c>
      <c r="D248" s="1" t="n">
        <v>0.095</v>
      </c>
      <c r="E248" s="1" t="n">
        <v>11613</v>
      </c>
      <c r="F248" s="1" t="n">
        <v>0.033</v>
      </c>
      <c r="G248" s="1" t="n">
        <v>11613</v>
      </c>
      <c r="H248" s="1" t="n">
        <v>0.039</v>
      </c>
    </row>
    <row r="249" customFormat="false" ht="12.75" hidden="false" customHeight="true" outlineLevel="0" collapsed="false">
      <c r="A249" s="1" t="n">
        <v>11662</v>
      </c>
      <c r="B249" s="1" t="n">
        <v>0.017</v>
      </c>
      <c r="C249" s="1" t="n">
        <v>11662</v>
      </c>
      <c r="D249" s="1" t="n">
        <v>0.096</v>
      </c>
      <c r="E249" s="1" t="n">
        <v>11662</v>
      </c>
      <c r="F249" s="1" t="n">
        <v>0.034</v>
      </c>
      <c r="G249" s="1" t="n">
        <v>11662</v>
      </c>
      <c r="H249" s="1" t="n">
        <v>0.04</v>
      </c>
    </row>
    <row r="250" customFormat="false" ht="12.75" hidden="false" customHeight="true" outlineLevel="0" collapsed="false">
      <c r="A250" s="1" t="n">
        <v>11711</v>
      </c>
      <c r="B250" s="1" t="n">
        <v>0.017</v>
      </c>
      <c r="C250" s="1" t="n">
        <v>11711</v>
      </c>
      <c r="D250" s="1" t="n">
        <v>0.097</v>
      </c>
      <c r="E250" s="1" t="n">
        <v>11711</v>
      </c>
      <c r="F250" s="1" t="n">
        <v>0.034</v>
      </c>
      <c r="G250" s="1" t="n">
        <v>11711</v>
      </c>
      <c r="H250" s="1" t="n">
        <v>0.039</v>
      </c>
    </row>
    <row r="251" customFormat="false" ht="12.75" hidden="false" customHeight="true" outlineLevel="0" collapsed="false">
      <c r="A251" s="1" t="n">
        <v>11760</v>
      </c>
      <c r="B251" s="1" t="n">
        <v>0.018</v>
      </c>
      <c r="C251" s="1" t="n">
        <v>11760</v>
      </c>
      <c r="D251" s="1" t="n">
        <v>0.096</v>
      </c>
      <c r="E251" s="1" t="n">
        <v>11760</v>
      </c>
      <c r="F251" s="1" t="n">
        <v>0.034</v>
      </c>
      <c r="G251" s="1" t="n">
        <v>11760</v>
      </c>
      <c r="H251" s="1" t="n">
        <v>0.039</v>
      </c>
    </row>
    <row r="252" customFormat="false" ht="12.75" hidden="false" customHeight="true" outlineLevel="0" collapsed="false">
      <c r="A252" s="1" t="n">
        <v>11809</v>
      </c>
      <c r="B252" s="1" t="n">
        <v>0.018</v>
      </c>
      <c r="C252" s="1" t="n">
        <v>11809</v>
      </c>
      <c r="D252" s="1" t="n">
        <v>0.097</v>
      </c>
      <c r="E252" s="1" t="n">
        <v>11809</v>
      </c>
      <c r="F252" s="1" t="n">
        <v>0.034</v>
      </c>
      <c r="G252" s="1" t="n">
        <v>11809</v>
      </c>
      <c r="H252" s="1" t="n">
        <v>0.04</v>
      </c>
    </row>
    <row r="253" customFormat="false" ht="12.75" hidden="false" customHeight="true" outlineLevel="0" collapsed="false">
      <c r="A253" s="1" t="n">
        <v>11858</v>
      </c>
      <c r="B253" s="1" t="n">
        <v>0.017</v>
      </c>
      <c r="C253" s="1" t="n">
        <v>11858</v>
      </c>
      <c r="D253" s="1" t="n">
        <v>0.097</v>
      </c>
      <c r="E253" s="1" t="n">
        <v>11858</v>
      </c>
      <c r="F253" s="1" t="n">
        <v>0.034</v>
      </c>
      <c r="G253" s="1" t="n">
        <v>11858</v>
      </c>
      <c r="H253" s="1" t="n">
        <v>0.04</v>
      </c>
    </row>
    <row r="254" customFormat="false" ht="12.75" hidden="false" customHeight="true" outlineLevel="0" collapsed="false">
      <c r="A254" s="1" t="n">
        <v>11907</v>
      </c>
      <c r="B254" s="1" t="n">
        <v>0.017</v>
      </c>
      <c r="C254" s="1" t="n">
        <v>11907</v>
      </c>
      <c r="D254" s="1" t="n">
        <v>0.097</v>
      </c>
      <c r="E254" s="1" t="n">
        <v>11907</v>
      </c>
      <c r="F254" s="1" t="n">
        <v>0.034</v>
      </c>
      <c r="G254" s="1" t="n">
        <v>11907</v>
      </c>
      <c r="H254" s="1" t="n">
        <v>0.039</v>
      </c>
    </row>
    <row r="255" customFormat="false" ht="12.75" hidden="false" customHeight="true" outlineLevel="0" collapsed="false">
      <c r="A255" s="1" t="n">
        <v>11956</v>
      </c>
      <c r="B255" s="1" t="n">
        <v>0.017</v>
      </c>
      <c r="C255" s="1" t="n">
        <v>11956</v>
      </c>
      <c r="D255" s="1" t="n">
        <v>0.098</v>
      </c>
      <c r="E255" s="1" t="n">
        <v>11956</v>
      </c>
      <c r="F255" s="1" t="n">
        <v>0.035</v>
      </c>
      <c r="G255" s="1" t="n">
        <v>11956</v>
      </c>
      <c r="H255" s="1" t="n">
        <v>0.04</v>
      </c>
    </row>
    <row r="256" customFormat="false" ht="12.75" hidden="false" customHeight="true" outlineLevel="0" collapsed="false">
      <c r="A256" s="1" t="n">
        <v>12005</v>
      </c>
      <c r="B256" s="1" t="n">
        <v>0.017</v>
      </c>
      <c r="C256" s="1" t="n">
        <v>12005</v>
      </c>
      <c r="D256" s="1" t="n">
        <v>0.098</v>
      </c>
      <c r="E256" s="1" t="n">
        <v>12005</v>
      </c>
      <c r="F256" s="1" t="n">
        <v>0.035</v>
      </c>
      <c r="G256" s="1" t="n">
        <v>12005</v>
      </c>
      <c r="H256" s="1" t="n">
        <v>0.041</v>
      </c>
    </row>
    <row r="257" customFormat="false" ht="12.75" hidden="false" customHeight="true" outlineLevel="0" collapsed="false">
      <c r="A257" s="1" t="n">
        <v>12054</v>
      </c>
      <c r="B257" s="1" t="n">
        <v>0.018</v>
      </c>
      <c r="C257" s="1" t="n">
        <v>12054</v>
      </c>
      <c r="D257" s="1" t="n">
        <v>0.098</v>
      </c>
      <c r="E257" s="1" t="n">
        <v>12054</v>
      </c>
      <c r="F257" s="1" t="n">
        <v>0.035</v>
      </c>
      <c r="G257" s="1" t="n">
        <v>12054</v>
      </c>
      <c r="H257" s="1" t="n">
        <v>0.04</v>
      </c>
    </row>
    <row r="258" customFormat="false" ht="12.75" hidden="false" customHeight="true" outlineLevel="0" collapsed="false">
      <c r="A258" s="1" t="n">
        <v>12103</v>
      </c>
      <c r="B258" s="1" t="n">
        <v>0.018</v>
      </c>
      <c r="C258" s="1" t="n">
        <v>12103</v>
      </c>
      <c r="D258" s="1" t="n">
        <v>0.098</v>
      </c>
      <c r="E258" s="1" t="n">
        <v>12103</v>
      </c>
      <c r="F258" s="1" t="n">
        <v>0.035</v>
      </c>
      <c r="G258" s="1" t="n">
        <v>12103</v>
      </c>
      <c r="H258" s="1" t="n">
        <v>0.04</v>
      </c>
    </row>
    <row r="259" customFormat="false" ht="12.75" hidden="false" customHeight="true" outlineLevel="0" collapsed="false">
      <c r="A259" s="1" t="n">
        <v>12152</v>
      </c>
      <c r="B259" s="1" t="n">
        <v>0.018</v>
      </c>
      <c r="C259" s="1" t="n">
        <v>12152</v>
      </c>
      <c r="D259" s="1" t="n">
        <v>0.1</v>
      </c>
      <c r="E259" s="1" t="n">
        <v>12152</v>
      </c>
      <c r="F259" s="1" t="n">
        <v>0.035</v>
      </c>
      <c r="G259" s="1" t="n">
        <v>12152</v>
      </c>
      <c r="H259" s="1" t="n">
        <v>0.04</v>
      </c>
    </row>
    <row r="260" customFormat="false" ht="12.75" hidden="false" customHeight="true" outlineLevel="0" collapsed="false">
      <c r="A260" s="1" t="n">
        <v>12201</v>
      </c>
      <c r="B260" s="1" t="n">
        <v>0.018</v>
      </c>
      <c r="C260" s="1" t="n">
        <v>12201</v>
      </c>
      <c r="D260" s="1" t="n">
        <v>0.1</v>
      </c>
      <c r="E260" s="1" t="n">
        <v>12201</v>
      </c>
      <c r="F260" s="1" t="n">
        <v>0.034</v>
      </c>
      <c r="G260" s="1" t="n">
        <v>12201</v>
      </c>
      <c r="H260" s="1" t="n">
        <v>0.04</v>
      </c>
    </row>
    <row r="261" customFormat="false" ht="12.75" hidden="false" customHeight="true" outlineLevel="0" collapsed="false">
      <c r="A261" s="1" t="n">
        <v>12250</v>
      </c>
      <c r="B261" s="1" t="n">
        <v>0.018</v>
      </c>
      <c r="C261" s="1" t="n">
        <v>12250</v>
      </c>
      <c r="D261" s="1" t="n">
        <v>0.101</v>
      </c>
      <c r="E261" s="1" t="n">
        <v>12250</v>
      </c>
      <c r="F261" s="1" t="n">
        <v>0.035</v>
      </c>
      <c r="G261" s="1" t="n">
        <v>12250</v>
      </c>
      <c r="H261" s="1" t="n">
        <v>0.04</v>
      </c>
    </row>
    <row r="262" customFormat="false" ht="12.75" hidden="false" customHeight="true" outlineLevel="0" collapsed="false">
      <c r="A262" s="1" t="n">
        <v>12299</v>
      </c>
      <c r="B262" s="1" t="n">
        <v>0.019</v>
      </c>
      <c r="C262" s="1" t="n">
        <v>12299</v>
      </c>
      <c r="D262" s="1" t="n">
        <v>0.101</v>
      </c>
      <c r="E262" s="1" t="n">
        <v>12299</v>
      </c>
      <c r="F262" s="1" t="n">
        <v>0.036</v>
      </c>
      <c r="G262" s="1" t="n">
        <v>12299</v>
      </c>
      <c r="H262" s="1" t="n">
        <v>0.041</v>
      </c>
    </row>
    <row r="263" customFormat="false" ht="12.75" hidden="false" customHeight="true" outlineLevel="0" collapsed="false">
      <c r="A263" s="1" t="n">
        <v>12348</v>
      </c>
      <c r="B263" s="1" t="n">
        <v>0.018</v>
      </c>
      <c r="C263" s="1" t="n">
        <v>12348</v>
      </c>
      <c r="D263" s="1" t="n">
        <v>0.101</v>
      </c>
      <c r="E263" s="1" t="n">
        <v>12348</v>
      </c>
      <c r="F263" s="1" t="n">
        <v>0.036</v>
      </c>
      <c r="G263" s="1" t="n">
        <v>12348</v>
      </c>
      <c r="H263" s="1" t="n">
        <v>0.04</v>
      </c>
    </row>
    <row r="264" customFormat="false" ht="12.75" hidden="false" customHeight="true" outlineLevel="0" collapsed="false">
      <c r="A264" s="1" t="n">
        <v>12397</v>
      </c>
      <c r="B264" s="1" t="n">
        <v>0.018</v>
      </c>
      <c r="C264" s="1" t="n">
        <v>12397</v>
      </c>
      <c r="D264" s="1" t="n">
        <v>0.101</v>
      </c>
      <c r="E264" s="1" t="n">
        <v>12397</v>
      </c>
      <c r="F264" s="1" t="n">
        <v>0.036</v>
      </c>
      <c r="G264" s="1" t="n">
        <v>12397</v>
      </c>
      <c r="H264" s="1" t="n">
        <v>0.041</v>
      </c>
    </row>
    <row r="265" customFormat="false" ht="12.75" hidden="false" customHeight="true" outlineLevel="0" collapsed="false">
      <c r="A265" s="1" t="n">
        <v>12446</v>
      </c>
      <c r="B265" s="1" t="n">
        <v>0.018</v>
      </c>
      <c r="C265" s="1" t="n">
        <v>12446</v>
      </c>
      <c r="D265" s="1" t="n">
        <v>0.101</v>
      </c>
      <c r="E265" s="1" t="n">
        <v>12446</v>
      </c>
      <c r="F265" s="1" t="n">
        <v>0.036</v>
      </c>
      <c r="G265" s="1" t="n">
        <v>12446</v>
      </c>
      <c r="H265" s="1" t="n">
        <v>0.041</v>
      </c>
    </row>
    <row r="266" customFormat="false" ht="12.75" hidden="false" customHeight="true" outlineLevel="0" collapsed="false">
      <c r="A266" s="1" t="n">
        <v>12495</v>
      </c>
      <c r="B266" s="1" t="n">
        <v>0.018</v>
      </c>
      <c r="C266" s="1" t="n">
        <v>12495</v>
      </c>
      <c r="D266" s="1" t="n">
        <v>0.102</v>
      </c>
      <c r="E266" s="1" t="n">
        <v>12495</v>
      </c>
      <c r="F266" s="1" t="n">
        <v>0.036</v>
      </c>
      <c r="G266" s="1" t="n">
        <v>12495</v>
      </c>
      <c r="H266" s="1" t="n">
        <v>0.041</v>
      </c>
    </row>
    <row r="267" customFormat="false" ht="12.75" hidden="false" customHeight="true" outlineLevel="0" collapsed="false">
      <c r="A267" s="1" t="n">
        <v>12544</v>
      </c>
      <c r="B267" s="1" t="n">
        <v>0.018</v>
      </c>
      <c r="C267" s="1" t="n">
        <v>12544</v>
      </c>
      <c r="D267" s="1" t="n">
        <v>0.102</v>
      </c>
      <c r="E267" s="1" t="n">
        <v>12544</v>
      </c>
      <c r="F267" s="1" t="n">
        <v>0.036</v>
      </c>
      <c r="G267" s="1" t="n">
        <v>12544</v>
      </c>
      <c r="H267" s="1" t="n">
        <v>0.041</v>
      </c>
    </row>
    <row r="268" customFormat="false" ht="12.75" hidden="false" customHeight="true" outlineLevel="0" collapsed="false">
      <c r="A268" s="1" t="n">
        <v>12593</v>
      </c>
      <c r="B268" s="1" t="n">
        <v>0.018</v>
      </c>
      <c r="C268" s="1" t="n">
        <v>12593</v>
      </c>
      <c r="D268" s="1" t="n">
        <v>0.102</v>
      </c>
      <c r="E268" s="1" t="n">
        <v>12593</v>
      </c>
      <c r="F268" s="1" t="n">
        <v>0.035</v>
      </c>
      <c r="G268" s="1" t="n">
        <v>12593</v>
      </c>
      <c r="H268" s="1" t="n">
        <v>0.041</v>
      </c>
    </row>
    <row r="269" customFormat="false" ht="12.75" hidden="false" customHeight="true" outlineLevel="0" collapsed="false">
      <c r="A269" s="1" t="n">
        <v>12642</v>
      </c>
      <c r="B269" s="1" t="n">
        <v>0.018</v>
      </c>
      <c r="C269" s="1" t="n">
        <v>12642</v>
      </c>
      <c r="D269" s="1" t="n">
        <v>0.102</v>
      </c>
      <c r="E269" s="1" t="n">
        <v>12642</v>
      </c>
      <c r="F269" s="1" t="n">
        <v>0.036</v>
      </c>
      <c r="G269" s="1" t="n">
        <v>12642</v>
      </c>
      <c r="H269" s="1" t="n">
        <v>0.041</v>
      </c>
    </row>
    <row r="270" customFormat="false" ht="12.75" hidden="false" customHeight="true" outlineLevel="0" collapsed="false">
      <c r="A270" s="1" t="n">
        <v>12691</v>
      </c>
      <c r="B270" s="1" t="n">
        <v>0.019</v>
      </c>
      <c r="C270" s="1" t="n">
        <v>12691</v>
      </c>
      <c r="D270" s="1" t="n">
        <v>0.103</v>
      </c>
      <c r="E270" s="1" t="n">
        <v>12691</v>
      </c>
      <c r="F270" s="1" t="n">
        <v>0.037</v>
      </c>
      <c r="G270" s="1" t="n">
        <v>12691</v>
      </c>
      <c r="H270" s="1" t="n">
        <v>0.042</v>
      </c>
    </row>
    <row r="271" customFormat="false" ht="12.75" hidden="false" customHeight="true" outlineLevel="0" collapsed="false">
      <c r="A271" s="1" t="n">
        <v>12740</v>
      </c>
      <c r="B271" s="1" t="n">
        <v>0.019</v>
      </c>
      <c r="C271" s="1" t="n">
        <v>12740</v>
      </c>
      <c r="D271" s="1" t="n">
        <v>0.104</v>
      </c>
      <c r="E271" s="1" t="n">
        <v>12740</v>
      </c>
      <c r="F271" s="1" t="n">
        <v>0.036</v>
      </c>
      <c r="G271" s="1" t="n">
        <v>12740</v>
      </c>
      <c r="H271" s="1" t="n">
        <v>0.042</v>
      </c>
    </row>
    <row r="272" customFormat="false" ht="12.75" hidden="false" customHeight="true" outlineLevel="0" collapsed="false">
      <c r="A272" s="1" t="n">
        <v>12789</v>
      </c>
      <c r="B272" s="1" t="n">
        <v>0.019</v>
      </c>
      <c r="C272" s="1" t="n">
        <v>12789</v>
      </c>
      <c r="D272" s="1" t="n">
        <v>0.104</v>
      </c>
      <c r="E272" s="1" t="n">
        <v>12789</v>
      </c>
      <c r="F272" s="1" t="n">
        <v>0.036</v>
      </c>
      <c r="G272" s="1" t="n">
        <v>12789</v>
      </c>
      <c r="H272" s="1" t="n">
        <v>0.042</v>
      </c>
    </row>
    <row r="273" customFormat="false" ht="12.75" hidden="false" customHeight="true" outlineLevel="0" collapsed="false">
      <c r="A273" s="1" t="n">
        <v>12838</v>
      </c>
      <c r="B273" s="1" t="n">
        <v>0.019</v>
      </c>
      <c r="C273" s="1" t="n">
        <v>12838</v>
      </c>
      <c r="D273" s="1" t="n">
        <v>0.104</v>
      </c>
      <c r="E273" s="1" t="n">
        <v>12838</v>
      </c>
      <c r="F273" s="1" t="n">
        <v>0.037</v>
      </c>
      <c r="G273" s="1" t="n">
        <v>12838</v>
      </c>
      <c r="H273" s="1" t="n">
        <v>0.041</v>
      </c>
    </row>
    <row r="274" customFormat="false" ht="12.75" hidden="false" customHeight="true" outlineLevel="0" collapsed="false">
      <c r="A274" s="1" t="n">
        <v>12887</v>
      </c>
      <c r="B274" s="1" t="n">
        <v>0.019</v>
      </c>
      <c r="C274" s="1" t="n">
        <v>12887</v>
      </c>
      <c r="D274" s="1" t="n">
        <v>0.105</v>
      </c>
      <c r="E274" s="1" t="n">
        <v>12887</v>
      </c>
      <c r="F274" s="1" t="n">
        <v>0.037</v>
      </c>
      <c r="G274" s="1" t="n">
        <v>12887</v>
      </c>
      <c r="H274" s="1" t="n">
        <v>0.041</v>
      </c>
    </row>
    <row r="275" customFormat="false" ht="12.75" hidden="false" customHeight="true" outlineLevel="0" collapsed="false">
      <c r="A275" s="1" t="n">
        <v>12936</v>
      </c>
      <c r="B275" s="1" t="n">
        <v>0.02</v>
      </c>
      <c r="C275" s="1" t="n">
        <v>12936</v>
      </c>
      <c r="D275" s="1" t="n">
        <v>0.105</v>
      </c>
      <c r="E275" s="1" t="n">
        <v>12936</v>
      </c>
      <c r="F275" s="1" t="n">
        <v>0.037</v>
      </c>
      <c r="G275" s="1" t="n">
        <v>12936</v>
      </c>
      <c r="H275" s="1" t="n">
        <v>0.042</v>
      </c>
    </row>
    <row r="276" customFormat="false" ht="12.75" hidden="false" customHeight="true" outlineLevel="0" collapsed="false">
      <c r="A276" s="1" t="n">
        <v>12985</v>
      </c>
      <c r="B276" s="1" t="n">
        <v>0.019</v>
      </c>
      <c r="C276" s="1" t="n">
        <v>12985</v>
      </c>
      <c r="D276" s="1" t="n">
        <v>0.105</v>
      </c>
      <c r="E276" s="1" t="n">
        <v>12985</v>
      </c>
      <c r="F276" s="1" t="n">
        <v>0.037</v>
      </c>
      <c r="G276" s="1" t="n">
        <v>12985</v>
      </c>
      <c r="H276" s="1" t="n">
        <v>0.043</v>
      </c>
    </row>
    <row r="277" customFormat="false" ht="12.75" hidden="false" customHeight="true" outlineLevel="0" collapsed="false">
      <c r="A277" s="1" t="n">
        <v>13034</v>
      </c>
      <c r="B277" s="1" t="n">
        <v>0.019</v>
      </c>
      <c r="C277" s="1" t="n">
        <v>13034</v>
      </c>
      <c r="D277" s="1" t="n">
        <v>0.105</v>
      </c>
      <c r="E277" s="1" t="n">
        <v>13034</v>
      </c>
      <c r="F277" s="1" t="n">
        <v>0.036</v>
      </c>
      <c r="G277" s="1" t="n">
        <v>13034</v>
      </c>
      <c r="H277" s="1" t="n">
        <v>0.042</v>
      </c>
    </row>
    <row r="278" customFormat="false" ht="12.75" hidden="false" customHeight="true" outlineLevel="0" collapsed="false">
      <c r="A278" s="1" t="n">
        <v>13083</v>
      </c>
      <c r="B278" s="1" t="n">
        <v>0.019</v>
      </c>
      <c r="C278" s="1" t="n">
        <v>13083</v>
      </c>
      <c r="D278" s="1" t="n">
        <v>0.106</v>
      </c>
      <c r="E278" s="1" t="n">
        <v>13083</v>
      </c>
      <c r="F278" s="1" t="n">
        <v>0.037</v>
      </c>
      <c r="G278" s="1" t="n">
        <v>13083</v>
      </c>
      <c r="H278" s="1" t="n">
        <v>0.043</v>
      </c>
    </row>
    <row r="279" customFormat="false" ht="12.75" hidden="false" customHeight="true" outlineLevel="0" collapsed="false">
      <c r="A279" s="1" t="n">
        <v>13132</v>
      </c>
      <c r="B279" s="1" t="n">
        <v>0.019</v>
      </c>
      <c r="C279" s="1" t="n">
        <v>13132</v>
      </c>
      <c r="D279" s="1" t="n">
        <v>0.107</v>
      </c>
      <c r="E279" s="1" t="n">
        <v>13132</v>
      </c>
      <c r="F279" s="1" t="n">
        <v>0.037</v>
      </c>
      <c r="G279" s="1" t="n">
        <v>13132</v>
      </c>
      <c r="H279" s="1" t="n">
        <v>0.043</v>
      </c>
    </row>
    <row r="280" customFormat="false" ht="12.75" hidden="false" customHeight="true" outlineLevel="0" collapsed="false">
      <c r="A280" s="1" t="n">
        <v>13181</v>
      </c>
      <c r="B280" s="1" t="n">
        <v>0.019</v>
      </c>
      <c r="C280" s="1" t="n">
        <v>13181</v>
      </c>
      <c r="D280" s="1" t="n">
        <v>0.107</v>
      </c>
      <c r="E280" s="1" t="n">
        <v>13181</v>
      </c>
      <c r="F280" s="1" t="n">
        <v>0.037</v>
      </c>
      <c r="G280" s="1" t="n">
        <v>13181</v>
      </c>
      <c r="H280" s="1" t="n">
        <v>0.043</v>
      </c>
    </row>
    <row r="281" customFormat="false" ht="12.75" hidden="false" customHeight="true" outlineLevel="0" collapsed="false">
      <c r="A281" s="1" t="n">
        <v>13230</v>
      </c>
      <c r="B281" s="1" t="n">
        <v>0.02</v>
      </c>
      <c r="C281" s="1" t="n">
        <v>13230</v>
      </c>
      <c r="D281" s="1" t="n">
        <v>0.107</v>
      </c>
      <c r="E281" s="1" t="n">
        <v>13230</v>
      </c>
      <c r="F281" s="1" t="n">
        <v>0.038</v>
      </c>
      <c r="G281" s="1" t="n">
        <v>13230</v>
      </c>
      <c r="H281" s="1" t="n">
        <v>0.043</v>
      </c>
    </row>
    <row r="282" customFormat="false" ht="12.75" hidden="false" customHeight="true" outlineLevel="0" collapsed="false">
      <c r="A282" s="1" t="n">
        <v>13279</v>
      </c>
      <c r="B282" s="1" t="n">
        <v>0.02</v>
      </c>
      <c r="C282" s="1" t="n">
        <v>13279</v>
      </c>
      <c r="D282" s="1" t="n">
        <v>0.107</v>
      </c>
      <c r="E282" s="1" t="n">
        <v>13279</v>
      </c>
      <c r="F282" s="1" t="n">
        <v>0.038</v>
      </c>
      <c r="G282" s="1" t="n">
        <v>13279</v>
      </c>
      <c r="H282" s="1" t="n">
        <v>0.043</v>
      </c>
    </row>
    <row r="283" customFormat="false" ht="12.75" hidden="false" customHeight="true" outlineLevel="0" collapsed="false">
      <c r="A283" s="1" t="n">
        <v>13328</v>
      </c>
      <c r="B283" s="1" t="n">
        <v>0.02</v>
      </c>
      <c r="C283" s="1" t="n">
        <v>13328</v>
      </c>
      <c r="D283" s="1" t="n">
        <v>0.108</v>
      </c>
      <c r="E283" s="1" t="n">
        <v>13328</v>
      </c>
      <c r="F283" s="1" t="n">
        <v>0.038</v>
      </c>
      <c r="G283" s="1" t="n">
        <v>13328</v>
      </c>
      <c r="H283" s="1" t="n">
        <v>0.043</v>
      </c>
    </row>
    <row r="284" customFormat="false" ht="12.75" hidden="false" customHeight="true" outlineLevel="0" collapsed="false">
      <c r="A284" s="1" t="n">
        <v>13377</v>
      </c>
      <c r="B284" s="1" t="n">
        <v>0.02</v>
      </c>
      <c r="C284" s="1" t="n">
        <v>13377</v>
      </c>
      <c r="D284" s="1" t="n">
        <v>0.108</v>
      </c>
      <c r="E284" s="1" t="n">
        <v>13377</v>
      </c>
      <c r="F284" s="1" t="n">
        <v>0.038</v>
      </c>
      <c r="G284" s="1" t="n">
        <v>13377</v>
      </c>
      <c r="H284" s="1" t="n">
        <v>0.044</v>
      </c>
    </row>
    <row r="285" customFormat="false" ht="12.75" hidden="false" customHeight="true" outlineLevel="0" collapsed="false">
      <c r="A285" s="1" t="n">
        <v>13426</v>
      </c>
      <c r="B285" s="1" t="n">
        <v>0.02</v>
      </c>
      <c r="C285" s="1" t="n">
        <v>13426</v>
      </c>
      <c r="D285" s="1" t="n">
        <v>0.108</v>
      </c>
      <c r="E285" s="1" t="n">
        <v>13426</v>
      </c>
      <c r="F285" s="1" t="n">
        <v>0.037</v>
      </c>
      <c r="G285" s="1" t="n">
        <v>13426</v>
      </c>
      <c r="H285" s="1" t="n">
        <v>0.044</v>
      </c>
    </row>
    <row r="286" customFormat="false" ht="12.75" hidden="false" customHeight="true" outlineLevel="0" collapsed="false">
      <c r="A286" s="1" t="n">
        <v>13475</v>
      </c>
      <c r="B286" s="1" t="n">
        <v>0.019</v>
      </c>
      <c r="C286" s="1" t="n">
        <v>13475</v>
      </c>
      <c r="D286" s="1" t="n">
        <v>0.108</v>
      </c>
      <c r="E286" s="1" t="n">
        <v>13475</v>
      </c>
      <c r="F286" s="1" t="n">
        <v>0.038</v>
      </c>
      <c r="G286" s="1" t="n">
        <v>13475</v>
      </c>
      <c r="H286" s="1" t="n">
        <v>0.043</v>
      </c>
    </row>
    <row r="287" customFormat="false" ht="12.75" hidden="false" customHeight="true" outlineLevel="0" collapsed="false">
      <c r="A287" s="1" t="n">
        <v>13524</v>
      </c>
      <c r="B287" s="1" t="n">
        <v>0.021</v>
      </c>
      <c r="C287" s="1" t="n">
        <v>13524</v>
      </c>
      <c r="D287" s="1" t="n">
        <v>0.109</v>
      </c>
      <c r="E287" s="1" t="n">
        <v>13524</v>
      </c>
      <c r="F287" s="1" t="n">
        <v>0.039</v>
      </c>
      <c r="G287" s="1" t="n">
        <v>13524</v>
      </c>
      <c r="H287" s="1" t="n">
        <v>0.043</v>
      </c>
    </row>
    <row r="288" customFormat="false" ht="12.75" hidden="false" customHeight="true" outlineLevel="0" collapsed="false">
      <c r="A288" s="1" t="n">
        <v>13573</v>
      </c>
      <c r="B288" s="1" t="n">
        <v>0.021</v>
      </c>
      <c r="C288" s="1" t="n">
        <v>13573</v>
      </c>
      <c r="D288" s="1" t="n">
        <v>0.109</v>
      </c>
      <c r="E288" s="1" t="n">
        <v>13573</v>
      </c>
      <c r="F288" s="1" t="n">
        <v>0.038</v>
      </c>
      <c r="G288" s="1" t="n">
        <v>13573</v>
      </c>
      <c r="H288" s="1" t="n">
        <v>0.044</v>
      </c>
    </row>
    <row r="289" customFormat="false" ht="12.75" hidden="false" customHeight="true" outlineLevel="0" collapsed="false">
      <c r="A289" s="1" t="n">
        <v>13622</v>
      </c>
      <c r="B289" s="1" t="n">
        <v>0.02</v>
      </c>
      <c r="C289" s="1" t="n">
        <v>13622</v>
      </c>
      <c r="D289" s="1" t="n">
        <v>0.109</v>
      </c>
      <c r="E289" s="1" t="n">
        <v>13622</v>
      </c>
      <c r="F289" s="1" t="n">
        <v>0.038</v>
      </c>
      <c r="G289" s="1" t="n">
        <v>13622</v>
      </c>
      <c r="H289" s="1" t="n">
        <v>0.044</v>
      </c>
    </row>
    <row r="290" customFormat="false" ht="12.75" hidden="false" customHeight="true" outlineLevel="0" collapsed="false">
      <c r="A290" s="1" t="n">
        <v>13671</v>
      </c>
      <c r="B290" s="1" t="n">
        <v>0.02</v>
      </c>
      <c r="C290" s="1" t="n">
        <v>13671</v>
      </c>
      <c r="D290" s="1" t="n">
        <v>0.11</v>
      </c>
      <c r="E290" s="1" t="n">
        <v>13671</v>
      </c>
      <c r="F290" s="1" t="n">
        <v>0.039</v>
      </c>
      <c r="G290" s="1" t="n">
        <v>13671</v>
      </c>
      <c r="H290" s="1" t="n">
        <v>0.044</v>
      </c>
    </row>
    <row r="291" customFormat="false" ht="12.75" hidden="false" customHeight="true" outlineLevel="0" collapsed="false">
      <c r="A291" s="1" t="n">
        <v>13720</v>
      </c>
      <c r="B291" s="1" t="n">
        <v>0.021</v>
      </c>
      <c r="C291" s="1" t="n">
        <v>13720</v>
      </c>
      <c r="D291" s="1" t="n">
        <v>0.11</v>
      </c>
      <c r="E291" s="1" t="n">
        <v>13720</v>
      </c>
      <c r="F291" s="1" t="n">
        <v>0.038</v>
      </c>
      <c r="G291" s="1" t="n">
        <v>13720</v>
      </c>
      <c r="H291" s="1" t="n">
        <v>0.044</v>
      </c>
    </row>
    <row r="292" customFormat="false" ht="12.75" hidden="false" customHeight="true" outlineLevel="0" collapsed="false">
      <c r="A292" s="1" t="n">
        <v>13769</v>
      </c>
      <c r="B292" s="1" t="n">
        <v>0.021</v>
      </c>
      <c r="C292" s="1" t="n">
        <v>13769</v>
      </c>
      <c r="D292" s="1" t="n">
        <v>0.111</v>
      </c>
      <c r="E292" s="1" t="n">
        <v>13769</v>
      </c>
      <c r="F292" s="1" t="n">
        <v>0.038</v>
      </c>
      <c r="G292" s="1" t="n">
        <v>13769</v>
      </c>
      <c r="H292" s="1" t="n">
        <v>0.045</v>
      </c>
    </row>
    <row r="293" customFormat="false" ht="12.75" hidden="false" customHeight="true" outlineLevel="0" collapsed="false">
      <c r="A293" s="1" t="n">
        <v>13818</v>
      </c>
      <c r="B293" s="1" t="n">
        <v>0.021</v>
      </c>
      <c r="C293" s="1" t="n">
        <v>13818</v>
      </c>
      <c r="D293" s="1" t="n">
        <v>0.111</v>
      </c>
      <c r="E293" s="1" t="n">
        <v>13818</v>
      </c>
      <c r="F293" s="1" t="n">
        <v>0.039</v>
      </c>
      <c r="G293" s="1" t="n">
        <v>13818</v>
      </c>
      <c r="H293" s="1" t="n">
        <v>0.044</v>
      </c>
    </row>
    <row r="294" customFormat="false" ht="12.75" hidden="false" customHeight="true" outlineLevel="0" collapsed="false">
      <c r="A294" s="1" t="n">
        <v>13867</v>
      </c>
      <c r="B294" s="1" t="n">
        <v>0.02</v>
      </c>
      <c r="C294" s="1" t="n">
        <v>13867</v>
      </c>
      <c r="D294" s="1" t="n">
        <v>0.111</v>
      </c>
      <c r="E294" s="1" t="n">
        <v>13867</v>
      </c>
      <c r="F294" s="1" t="n">
        <v>0.039</v>
      </c>
      <c r="G294" s="1" t="n">
        <v>13867</v>
      </c>
      <c r="H294" s="1" t="n">
        <v>0.044</v>
      </c>
    </row>
    <row r="295" customFormat="false" ht="12.75" hidden="false" customHeight="true" outlineLevel="0" collapsed="false">
      <c r="A295" s="1" t="n">
        <v>13916</v>
      </c>
      <c r="B295" s="1" t="n">
        <v>0.02</v>
      </c>
      <c r="C295" s="1" t="n">
        <v>13916</v>
      </c>
      <c r="D295" s="1" t="n">
        <v>0.111</v>
      </c>
      <c r="E295" s="1" t="n">
        <v>13916</v>
      </c>
      <c r="F295" s="1" t="n">
        <v>0.039</v>
      </c>
      <c r="G295" s="1" t="n">
        <v>13916</v>
      </c>
      <c r="H295" s="1" t="n">
        <v>0.044</v>
      </c>
    </row>
    <row r="296" customFormat="false" ht="12.75" hidden="false" customHeight="true" outlineLevel="0" collapsed="false">
      <c r="A296" s="1" t="n">
        <v>13965</v>
      </c>
      <c r="B296" s="1" t="n">
        <v>0.021</v>
      </c>
      <c r="C296" s="1" t="n">
        <v>13965</v>
      </c>
      <c r="D296" s="1" t="n">
        <v>0.111</v>
      </c>
      <c r="E296" s="1" t="n">
        <v>13965</v>
      </c>
      <c r="F296" s="1" t="n">
        <v>0.039</v>
      </c>
      <c r="G296" s="1" t="n">
        <v>13965</v>
      </c>
      <c r="H296" s="1" t="n">
        <v>0.044</v>
      </c>
    </row>
    <row r="297" customFormat="false" ht="12.75" hidden="false" customHeight="true" outlineLevel="0" collapsed="false">
      <c r="A297" s="1" t="n">
        <v>14014</v>
      </c>
      <c r="B297" s="1" t="n">
        <v>0.02</v>
      </c>
      <c r="C297" s="1" t="n">
        <v>14014</v>
      </c>
      <c r="D297" s="1" t="n">
        <v>0.112</v>
      </c>
      <c r="E297" s="1" t="n">
        <v>14014</v>
      </c>
      <c r="F297" s="1" t="n">
        <v>0.039</v>
      </c>
      <c r="G297" s="1" t="n">
        <v>14014</v>
      </c>
      <c r="H297" s="1" t="n">
        <v>0.045</v>
      </c>
    </row>
    <row r="298" customFormat="false" ht="12.75" hidden="false" customHeight="true" outlineLevel="0" collapsed="false">
      <c r="A298" s="1" t="n">
        <v>14063</v>
      </c>
      <c r="B298" s="1" t="n">
        <v>0.021</v>
      </c>
      <c r="C298" s="1" t="n">
        <v>14063</v>
      </c>
      <c r="D298" s="1" t="n">
        <v>0.112</v>
      </c>
      <c r="E298" s="1" t="n">
        <v>14063</v>
      </c>
      <c r="F298" s="1" t="n">
        <v>0.039</v>
      </c>
      <c r="G298" s="1" t="n">
        <v>14063</v>
      </c>
      <c r="H298" s="1" t="n">
        <v>0.045</v>
      </c>
    </row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  <dc:description/>
  <dc:language>en-BS</dc:language>
  <cp:lastModifiedBy/>
  <dcterms:modified xsi:type="dcterms:W3CDTF">2024-12-12T18:37:04Z</dcterms:modified>
  <cp:revision>1</cp:revision>
  <dc:subject/>
  <dc:title/>
</cp:coreProperties>
</file>