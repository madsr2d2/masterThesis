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21" vbProcedure="false">Sheet2!$A$1:$H$46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<sst xmlns="http://schemas.openxmlformats.org/spreadsheetml/2006/main" count="178" uniqueCount="117">
  <si>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</si>
  <si>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</si>
  <si>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</si>
  <si>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</si>
  <si>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</si>
  <si>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</si>
  <si>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</si>
  <si>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</si>
  <si>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</si>
  <si>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</si>
  <si>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</si>
  <si>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</si>
  <si>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</si>
  <si>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</si>
  <si>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</si>
  <si>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</si>
  <si>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</si>
  <si>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</si>
  <si>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</si>
  <si>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</si>
  <si>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</si>
  <si>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</si>
  <si>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</si>
  <si>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</si>
  <si>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</si>
  <si>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</si>
  <si>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</si>
  <si>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</si>
  <si>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</si>
  <si>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</si>
  <si>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</si>
  <si>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</si>
  <si>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</si>
  <si>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</si>
  <si>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</si>
  <si>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4-methoxy-benzylalkohol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</si>
  <si>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</si>
  <si>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</si>
  <si>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</si>
  <si>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</si>
  <si>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</si>
  <si>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</si>
  <si>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</si>
  <si>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</si>
  <si>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</si>
  <si>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</si>
  <si>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</si>
  <si>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pH</t>
  </si>
  <si>
    <t xml:space="preserve">mmol/l</t>
  </si>
  <si>
    <t xml:space="preserve">T</t>
  </si>
  <si>
    <t xml:space="preserve">kuv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</si>
  <si>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</si>
  <si>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</si>
  <si>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</si>
  <si>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</si>
  <si>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</si>
  <si>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</si>
  <si>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</si>
  <si>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</si>
  <si>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</si>
  <si>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</si>
  <si>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</si>
  <si>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</si>
  <si>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</si>
  <si>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</si>
  <si>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</si>
  <si>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</si>
  <si>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</si>
  <si>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</si>
  <si>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</si>
  <si>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</si>
  <si>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</si>
  <si>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</si>
  <si>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</si>
  <si>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Kinetics Experiment - 021 best fit 2</t>
  </si>
  <si>
    <t xml:space="preserve">Hanes-Woolf</t>
  </si>
  <si>
    <t xml:space="preserve">Conc. Units</t>
  </si>
  <si>
    <t xml:space="preserve">Parameters</t>
  </si>
  <si>
    <t xml:space="preserve">[I]=0.000</t>
  </si>
  <si>
    <t xml:space="preserve">Raw Data</t>
  </si>
  <si>
    <t xml:space="preserve">Calculated Values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</si>
  <si>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</si>
  <si>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</si>
  <si>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</si>
  <si>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</si>
  <si>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</si>
  <si>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VMax</t>
  </si>
  <si>
    <t xml:space="preserve">Sample001</t>
  </si>
  <si>
    <t xml:space="preserve">Yes</t>
  </si>
  <si>
    <t xml:space="preserve">Sample002</t>
  </si>
  <si>
    <t xml:space="preserve">Statistics</t>
  </si>
  <si>
    <t xml:space="preserve">sample003</t>
  </si>
  <si>
    <t xml:space="preserve">Chi Squared</t>
  </si>
  <si>
    <t xml:space="preserve">Sample004</t>
  </si>
  <si>
    <t xml:space="preserve">Corr.Coeff.</t>
  </si>
  <si>
    <t xml:space="preserve">Batch</t>
  </si>
  <si>
    <t xml:space="preserve">mads_t021.rre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</si>
  <si>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</si>
  <si>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</si>
  <si>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</si>
  <si>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</si>
  <si>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</si>
  <si>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</si>
  <si>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Time Collected</t>
  </si>
  <si>
    <t xml:space="preserve">8:06:10PM</t>
  </si>
  <si>
    <t xml:space="preserve">7:40:02PM</t>
  </si>
  <si>
    <t xml:space="preserve">7:40:09PM</t>
  </si>
  <si>
    <t xml:space="preserve">7:40:17PM</t>
  </si>
  <si>
    <t xml:space="preserve">Substrate Conc.</t>
  </si>
  <si>
    <t xml:space="preserve">1.8498 mmol/l</t>
  </si>
  <si>
    <t xml:space="preserve">3.6966 mmol/l</t>
  </si>
  <si>
    <t xml:space="preserve">5.5493 mmol/l</t>
  </si>
  <si>
    <t xml:space="preserve">7.3990 mmol/l</t>
  </si>
  <si>
    <t xml:space="preserve">ss.sss</t>
  </si>
  <si>
    <t xml:space="preserve">Value</t>
  </si>
  <si>
    <t xml:space="preserve">S</t>
  </si>
  <si>
    <t xml:space="preserve">S/V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</si>
</sst>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E+00"/>
    <numFmt numFmtId="167" formatCode="mm/dd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8"/>
      <color rgb="FF757575"/>
      <name val="Calibri"/>
      <family val="2"/>
    </font>
    <font>
      <sz val="10"/>
      <color rgb="FF1A1A1A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76851462"/>
        <c:axId val="11706488"/>
      </c:scatterChart>
      <c:valAx>
        <c:axId val="768514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1706488"/>
        <c:crosses val="autoZero"/>
        <c:crossBetween val="midCat"/>
      </c:valAx>
      <c:valAx>
        <c:axId val="1170648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851462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60272405"/>
        <c:axId val="63224237"/>
      </c:barChart>
      <c:catAx>
        <c:axId val="60272405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63224237"/>
        <c:auto val="1"/>
        <c:lblAlgn val="ctr"/>
        <c:lblOffset val="100"/>
        <c:noMultiLvlLbl val="0"/>
      </c:catAx>
      <c:valAx>
        <c:axId val="63224237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60272405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11716540"/>
        <c:axId val="9088755"/>
      </c:scatterChart>
      <c:valAx>
        <c:axId val="11716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88755"/>
        <c:crosses val="autoZero"/>
        <c:crossBetween val="midCat"/>
      </c:valAx>
      <c:valAx>
        <c:axId val="908875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1716540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hanes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84712926"/>
        <c:axId val="91941278"/>
      </c:barChart>
      <c:catAx>
        <c:axId val="84712926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91941278"/>
        <c:auto val="1"/>
        <c:lblAlgn val="ctr"/>
        <c:lblOffset val="100"/>
        <c:noMultiLvlLbl val="0"/>
      </c:catAx>
      <c:valAx>
        <c:axId val="91941278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84712926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1.8498 mmol/l/Value, Substrate Conc./ss.sss, 3.6966 mmol/l/Value, Substrate Conc./ss.sss, 5.5493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Sheet2!$B$9:$B$10</c:f>
              <c:strCache>
                <c:ptCount val="1"/>
                <c:pt idx="0">
                  <c:v>1.8498 mmol/l Value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Sheet2!$A$11:$A$42</c:f>
              <c:numCache>
                <c:formatCode>General</c:formatCode>
                <c:ptCount val="32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</c:numCache>
            </c:numRef>
          </c:xVal>
          <c:yVal>
            <c:numRef>
              <c:f>Sheet2!$B$11:$B$42</c:f>
              <c:numCache>
                <c:formatCode>General</c:formatCode>
                <c:ptCount val="32"/>
                <c:pt idx="0">
                  <c:v>0.002</c:v>
                </c:pt>
                <c:pt idx="1">
                  <c:v>0.012</c:v>
                </c:pt>
                <c:pt idx="2">
                  <c:v>0.021</c:v>
                </c:pt>
                <c:pt idx="3">
                  <c:v>0.031</c:v>
                </c:pt>
                <c:pt idx="4">
                  <c:v>0.04</c:v>
                </c:pt>
                <c:pt idx="5">
                  <c:v>0.051</c:v>
                </c:pt>
                <c:pt idx="6">
                  <c:v>0.059</c:v>
                </c:pt>
                <c:pt idx="7">
                  <c:v>0.068</c:v>
                </c:pt>
                <c:pt idx="8">
                  <c:v>0.078</c:v>
                </c:pt>
                <c:pt idx="9">
                  <c:v>0.085</c:v>
                </c:pt>
                <c:pt idx="10">
                  <c:v>0.094</c:v>
                </c:pt>
                <c:pt idx="11">
                  <c:v>0.102</c:v>
                </c:pt>
                <c:pt idx="12">
                  <c:v>0.109</c:v>
                </c:pt>
                <c:pt idx="13">
                  <c:v>0.118</c:v>
                </c:pt>
                <c:pt idx="14">
                  <c:v>0.125</c:v>
                </c:pt>
                <c:pt idx="15">
                  <c:v>0.133</c:v>
                </c:pt>
                <c:pt idx="16">
                  <c:v>0.14</c:v>
                </c:pt>
                <c:pt idx="17">
                  <c:v>0.147</c:v>
                </c:pt>
                <c:pt idx="18">
                  <c:v>0.153</c:v>
                </c:pt>
                <c:pt idx="19">
                  <c:v>0.16</c:v>
                </c:pt>
                <c:pt idx="20">
                  <c:v>0.166</c:v>
                </c:pt>
                <c:pt idx="21">
                  <c:v>0.173</c:v>
                </c:pt>
                <c:pt idx="22">
                  <c:v>0.179</c:v>
                </c:pt>
                <c:pt idx="23">
                  <c:v>0.185</c:v>
                </c:pt>
                <c:pt idx="24">
                  <c:v>0.192</c:v>
                </c:pt>
                <c:pt idx="25">
                  <c:v>0.198</c:v>
                </c:pt>
                <c:pt idx="26">
                  <c:v>0.203</c:v>
                </c:pt>
                <c:pt idx="27">
                  <c:v>0.209</c:v>
                </c:pt>
                <c:pt idx="28">
                  <c:v>0.214</c:v>
                </c:pt>
                <c:pt idx="29">
                  <c:v>0.219</c:v>
                </c:pt>
                <c:pt idx="30">
                  <c:v>0.225</c:v>
                </c:pt>
                <c:pt idx="31">
                  <c:v>0.23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Sheet2!$D$9:$D$10</c:f>
              <c:strCache>
                <c:ptCount val="1"/>
                <c:pt idx="0">
                  <c:v>3.6966 mmol/l Value</c:v>
                </c:pt>
              </c:strCache>
            </c:strRef>
          </c:tx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Sheet2!$A$11:$A$42</c:f>
              <c:numCache>
                <c:formatCode>General</c:formatCode>
                <c:ptCount val="32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</c:numCache>
            </c:numRef>
          </c:xVal>
          <c:yVal>
            <c:numRef>
              <c:f>Sheet2!$D$11:$D$42</c:f>
              <c:numCache>
                <c:formatCode>General</c:formatCode>
                <c:ptCount val="32"/>
                <c:pt idx="0">
                  <c:v>0.02</c:v>
                </c:pt>
                <c:pt idx="1">
                  <c:v>0.029</c:v>
                </c:pt>
                <c:pt idx="2">
                  <c:v>0.04</c:v>
                </c:pt>
                <c:pt idx="3">
                  <c:v>0.051</c:v>
                </c:pt>
                <c:pt idx="4">
                  <c:v>0.062</c:v>
                </c:pt>
                <c:pt idx="5">
                  <c:v>0.073</c:v>
                </c:pt>
                <c:pt idx="6">
                  <c:v>0.084</c:v>
                </c:pt>
                <c:pt idx="7">
                  <c:v>0.093</c:v>
                </c:pt>
                <c:pt idx="8">
                  <c:v>0.103</c:v>
                </c:pt>
                <c:pt idx="9">
                  <c:v>0.114</c:v>
                </c:pt>
                <c:pt idx="10">
                  <c:v>0.122</c:v>
                </c:pt>
                <c:pt idx="11">
                  <c:v>0.132</c:v>
                </c:pt>
                <c:pt idx="12">
                  <c:v>0.141</c:v>
                </c:pt>
                <c:pt idx="13">
                  <c:v>0.15</c:v>
                </c:pt>
                <c:pt idx="14">
                  <c:v>0.16</c:v>
                </c:pt>
                <c:pt idx="15">
                  <c:v>0.167</c:v>
                </c:pt>
                <c:pt idx="16">
                  <c:v>0.176</c:v>
                </c:pt>
                <c:pt idx="17">
                  <c:v>0.185</c:v>
                </c:pt>
                <c:pt idx="18">
                  <c:v>0.192</c:v>
                </c:pt>
                <c:pt idx="19">
                  <c:v>0.2</c:v>
                </c:pt>
                <c:pt idx="20">
                  <c:v>0.208</c:v>
                </c:pt>
                <c:pt idx="21">
                  <c:v>0.215</c:v>
                </c:pt>
                <c:pt idx="22">
                  <c:v>0.223</c:v>
                </c:pt>
                <c:pt idx="23">
                  <c:v>0.229</c:v>
                </c:pt>
                <c:pt idx="24">
                  <c:v>0.236</c:v>
                </c:pt>
                <c:pt idx="25">
                  <c:v>0.243</c:v>
                </c:pt>
                <c:pt idx="26">
                  <c:v>0.25</c:v>
                </c:pt>
                <c:pt idx="27">
                  <c:v>0.258</c:v>
                </c:pt>
                <c:pt idx="28">
                  <c:v>0.263</c:v>
                </c:pt>
                <c:pt idx="29">
                  <c:v>0.269</c:v>
                </c:pt>
                <c:pt idx="30">
                  <c:v>0.277</c:v>
                </c:pt>
                <c:pt idx="31">
                  <c:v>0.283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Sheet2!$F$9:$F$10</c:f>
              <c:strCache>
                <c:ptCount val="1"/>
                <c:pt idx="0">
                  <c:v>5.5493 mmol/l Value</c:v>
                </c:pt>
              </c:strCache>
            </c:strRef>
          </c:tx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Sheet2!$A$11:$A$42</c:f>
              <c:numCache>
                <c:formatCode>General</c:formatCode>
                <c:ptCount val="32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</c:numCache>
            </c:numRef>
          </c:xVal>
          <c:yVal>
            <c:numRef>
              <c:f>Sheet2!$F$11:$F$42</c:f>
              <c:numCache>
                <c:formatCode>General</c:formatCode>
                <c:ptCount val="32"/>
                <c:pt idx="0">
                  <c:v>0.03</c:v>
                </c:pt>
                <c:pt idx="1">
                  <c:v>0.04</c:v>
                </c:pt>
                <c:pt idx="2">
                  <c:v>0.052</c:v>
                </c:pt>
                <c:pt idx="3">
                  <c:v>0.064</c:v>
                </c:pt>
                <c:pt idx="4">
                  <c:v>0.075</c:v>
                </c:pt>
                <c:pt idx="5">
                  <c:v>0.086</c:v>
                </c:pt>
                <c:pt idx="6">
                  <c:v>0.097</c:v>
                </c:pt>
                <c:pt idx="7">
                  <c:v>0.107</c:v>
                </c:pt>
                <c:pt idx="8">
                  <c:v>0.119</c:v>
                </c:pt>
                <c:pt idx="9">
                  <c:v>0.128</c:v>
                </c:pt>
                <c:pt idx="10">
                  <c:v>0.139</c:v>
                </c:pt>
                <c:pt idx="11">
                  <c:v>0.15</c:v>
                </c:pt>
                <c:pt idx="12">
                  <c:v>0.159</c:v>
                </c:pt>
                <c:pt idx="13">
                  <c:v>0.169</c:v>
                </c:pt>
                <c:pt idx="14">
                  <c:v>0.178</c:v>
                </c:pt>
                <c:pt idx="15">
                  <c:v>0.187</c:v>
                </c:pt>
                <c:pt idx="16">
                  <c:v>0.197</c:v>
                </c:pt>
                <c:pt idx="17">
                  <c:v>0.205</c:v>
                </c:pt>
                <c:pt idx="18">
                  <c:v>0.214</c:v>
                </c:pt>
                <c:pt idx="19">
                  <c:v>0.223</c:v>
                </c:pt>
                <c:pt idx="20">
                  <c:v>0.231</c:v>
                </c:pt>
                <c:pt idx="21">
                  <c:v>0.238</c:v>
                </c:pt>
                <c:pt idx="22">
                  <c:v>0.246</c:v>
                </c:pt>
                <c:pt idx="23">
                  <c:v>0.254</c:v>
                </c:pt>
                <c:pt idx="24">
                  <c:v>0.262</c:v>
                </c:pt>
                <c:pt idx="25">
                  <c:v>0.269</c:v>
                </c:pt>
                <c:pt idx="26">
                  <c:v>0.277</c:v>
                </c:pt>
                <c:pt idx="27">
                  <c:v>0.283</c:v>
                </c:pt>
                <c:pt idx="28">
                  <c:v>0.29</c:v>
                </c:pt>
                <c:pt idx="29">
                  <c:v>0.298</c:v>
                </c:pt>
                <c:pt idx="30">
                  <c:v>0.304</c:v>
                </c:pt>
                <c:pt idx="31">
                  <c:v>0.31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Sheet2!$H$9:$H$10</c:f>
              <c:strCache>
                <c:ptCount val="1"/>
                <c:pt idx="0">
                  <c:v>7.3990 mmol/l Value</c:v>
                </c:pt>
              </c:strCache>
            </c:strRef>
          </c:tx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Sheet2!$A$11:$A$42</c:f>
              <c:numCache>
                <c:formatCode>General</c:formatCode>
                <c:ptCount val="32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</c:numCache>
            </c:numRef>
          </c:xVal>
          <c:yVal>
            <c:numRef>
              <c:f>Sheet2!$H$11:$H$42</c:f>
              <c:numCache>
                <c:formatCode>General</c:formatCode>
                <c:ptCount val="32"/>
                <c:pt idx="0">
                  <c:v>0.021</c:v>
                </c:pt>
                <c:pt idx="1">
                  <c:v>0.03</c:v>
                </c:pt>
                <c:pt idx="2">
                  <c:v>0.041</c:v>
                </c:pt>
                <c:pt idx="3">
                  <c:v>0.051</c:v>
                </c:pt>
                <c:pt idx="4">
                  <c:v>0.062</c:v>
                </c:pt>
                <c:pt idx="5">
                  <c:v>0.072</c:v>
                </c:pt>
                <c:pt idx="6">
                  <c:v>0.083</c:v>
                </c:pt>
                <c:pt idx="7">
                  <c:v>0.093</c:v>
                </c:pt>
                <c:pt idx="8">
                  <c:v>0.103</c:v>
                </c:pt>
                <c:pt idx="9">
                  <c:v>0.113</c:v>
                </c:pt>
                <c:pt idx="10">
                  <c:v>0.124</c:v>
                </c:pt>
                <c:pt idx="11">
                  <c:v>0.134</c:v>
                </c:pt>
                <c:pt idx="12">
                  <c:v>0.143</c:v>
                </c:pt>
                <c:pt idx="13">
                  <c:v>0.153</c:v>
                </c:pt>
                <c:pt idx="14">
                  <c:v>0.163</c:v>
                </c:pt>
                <c:pt idx="15">
                  <c:v>0.172</c:v>
                </c:pt>
                <c:pt idx="16">
                  <c:v>0.182</c:v>
                </c:pt>
                <c:pt idx="17">
                  <c:v>0.191</c:v>
                </c:pt>
                <c:pt idx="18">
                  <c:v>0.2</c:v>
                </c:pt>
                <c:pt idx="19">
                  <c:v>0.208</c:v>
                </c:pt>
                <c:pt idx="20">
                  <c:v>0.216</c:v>
                </c:pt>
                <c:pt idx="21">
                  <c:v>0.225</c:v>
                </c:pt>
                <c:pt idx="22">
                  <c:v>0.233</c:v>
                </c:pt>
                <c:pt idx="23">
                  <c:v>0.241</c:v>
                </c:pt>
                <c:pt idx="24">
                  <c:v>0.249</c:v>
                </c:pt>
                <c:pt idx="25">
                  <c:v>0.258</c:v>
                </c:pt>
                <c:pt idx="26">
                  <c:v>0.266</c:v>
                </c:pt>
                <c:pt idx="27">
                  <c:v>0.273</c:v>
                </c:pt>
                <c:pt idx="28">
                  <c:v>0.28</c:v>
                </c:pt>
                <c:pt idx="29">
                  <c:v>0.288</c:v>
                </c:pt>
                <c:pt idx="30">
                  <c:v>0.294</c:v>
                </c:pt>
                <c:pt idx="31">
                  <c:v>0.304</c:v>
                </c:pt>
              </c:numCache>
            </c:numRef>
          </c:yVal>
          <c:smooth val="1"/>
        </c:ser>
        <c:axId val="86244304"/>
        <c:axId val="10175471"/>
      </c:scatterChart>
      <c:valAx>
        <c:axId val="86244304"/>
        <c:scaling>
          <c:orientation val="minMax"/>
          <c:min val="-50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0175471"/>
        <c:crosses val="autoZero"/>
        <c:crossBetween val="midCat"/>
      </c:valAx>
      <c:valAx>
        <c:axId val="10175471"/>
        <c:scaling>
          <c:orientation val="minMax"/>
          <c:min val="-0.1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624430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V og S/V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Sheet2!$M$38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Sheet2!$L$39:$L$42</c:f>
              <c:numCache>
                <c:formatCode>General</c:formatCode>
                <c:ptCount val="4"/>
                <c:pt idx="0">
                  <c:v>1.84977443246243</c:v>
                </c:pt>
                <c:pt idx="1">
                  <c:v>3.69954886492485</c:v>
                </c:pt>
                <c:pt idx="2">
                  <c:v>5.54932329738728</c:v>
                </c:pt>
                <c:pt idx="3">
                  <c:v>7.3990977298497</c:v>
                </c:pt>
              </c:numCache>
            </c:numRef>
          </c:xVal>
          <c:yVal>
            <c:numRef>
              <c:f>Sheet2!$M$39:$M$42</c:f>
              <c:numCache>
                <c:formatCode>General</c:formatCode>
                <c:ptCount val="4"/>
                <c:pt idx="0">
                  <c:v>2.11</c:v>
                </c:pt>
                <c:pt idx="1">
                  <c:v>2.36</c:v>
                </c:pt>
                <c:pt idx="2">
                  <c:v>2.44</c:v>
                </c:pt>
                <c:pt idx="3">
                  <c:v>2.22</c:v>
                </c:pt>
              </c:numCache>
            </c:numRef>
          </c:yVal>
          <c:smooth val="1"/>
        </c:ser>
        <c:axId val="27499715"/>
        <c:axId val="85205539"/>
      </c:scatterChart>
      <c:valAx>
        <c:axId val="27499715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205539"/>
        <c:crosses val="autoZero"/>
        <c:crossBetween val="midCat"/>
      </c:valAx>
      <c:valAx>
        <c:axId val="8520553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74997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377640</xdr:colOff>
      <xdr:row>9</xdr:row>
      <xdr:rowOff>171000</xdr:rowOff>
    </xdr:to>
    <xdr:graphicFrame>
      <xdr:nvGraphicFramePr>
        <xdr:cNvPr id="0" name="Chart 1"/>
        <xdr:cNvGraphicFramePr/>
      </xdr:nvGraphicFramePr>
      <xdr:xfrm>
        <a:off x="5080680" y="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377640</xdr:colOff>
      <xdr:row>11</xdr:row>
      <xdr:rowOff>161640</xdr:rowOff>
    </xdr:to>
    <xdr:graphicFrame>
      <xdr:nvGraphicFramePr>
        <xdr:cNvPr id="1" name="Chart 2"/>
        <xdr:cNvGraphicFramePr/>
      </xdr:nvGraphicFramePr>
      <xdr:xfrm>
        <a:off x="5645160" y="333360"/>
        <a:ext cx="3200040" cy="16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16</xdr:col>
      <xdr:colOff>377280</xdr:colOff>
      <xdr:row>13</xdr:row>
      <xdr:rowOff>171000</xdr:rowOff>
    </xdr:to>
    <xdr:graphicFrame>
      <xdr:nvGraphicFramePr>
        <xdr:cNvPr id="2" name="Chart 3"/>
        <xdr:cNvGraphicFramePr/>
      </xdr:nvGraphicFramePr>
      <xdr:xfrm>
        <a:off x="6209640" y="65736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171360</xdr:colOff>
      <xdr:row>47</xdr:row>
      <xdr:rowOff>95400</xdr:rowOff>
    </xdr:from>
    <xdr:to>
      <xdr:col>12</xdr:col>
      <xdr:colOff>109800</xdr:colOff>
      <xdr:row>71</xdr:row>
      <xdr:rowOff>95040</xdr:rowOff>
    </xdr:to>
    <xdr:graphicFrame>
      <xdr:nvGraphicFramePr>
        <xdr:cNvPr id="3" name="Chart 4"/>
        <xdr:cNvGraphicFramePr/>
      </xdr:nvGraphicFramePr>
      <xdr:xfrm>
        <a:off x="3870720" y="7763040"/>
        <a:ext cx="41526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504720</xdr:colOff>
      <xdr:row>3</xdr:row>
      <xdr:rowOff>0</xdr:rowOff>
    </xdr:from>
    <xdr:to>
      <xdr:col>24</xdr:col>
      <xdr:colOff>326160</xdr:colOff>
      <xdr:row>32</xdr:row>
      <xdr:rowOff>85320</xdr:rowOff>
    </xdr:to>
    <xdr:graphicFrame>
      <xdr:nvGraphicFramePr>
        <xdr:cNvPr id="4" name="Chart 5"/>
        <xdr:cNvGraphicFramePr/>
      </xdr:nvGraphicFramePr>
      <xdr:xfrm>
        <a:off x="9343440" y="485640"/>
        <a:ext cx="7724520" cy="4781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781200</xdr:colOff>
      <xdr:row>7</xdr:row>
      <xdr:rowOff>85680</xdr:rowOff>
    </xdr:from>
    <xdr:to>
      <xdr:col>9</xdr:col>
      <xdr:colOff>157320</xdr:colOff>
      <xdr:row>29</xdr:row>
      <xdr:rowOff>56880</xdr:rowOff>
    </xdr:to>
    <xdr:graphicFrame>
      <xdr:nvGraphicFramePr>
        <xdr:cNvPr id="5" name="Chart 6"/>
        <xdr:cNvGraphicFramePr/>
      </xdr:nvGraphicFramePr>
      <xdr:xfrm>
        <a:off x="2716560" y="121932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2" activeCellId="0" sqref="R22"/>
    </sheetView>
  </sheetViews>
  <sheetFormatPr defaultColWidth="14.4453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.43"/>
    <col collapsed="false" customWidth="true" hidden="false" outlineLevel="0" max="6" min="4" style="0" width="8"/>
    <col collapsed="false" customWidth="true" hidden="false" outlineLevel="0" max="7" min="7" style="0" width="12.43"/>
    <col collapsed="false" customWidth="true" hidden="false" outlineLevel="0" max="9" min="8" style="0" width="8"/>
    <col collapsed="false" customWidth="true" hidden="false" outlineLevel="0" max="10" min="10" style="0" width="12.43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21</v>
      </c>
    </row>
    <row r="2" customFormat="false" ht="13.5" hidden="false" customHeight="true" outlineLevel="0" collapsed="false">
      <c r="C2" s="1" t="n">
        <v>300</v>
      </c>
      <c r="D2" s="1" t="s">
        <v>33</v>
      </c>
      <c r="H2" s="1" t="s">
        <v>34</v>
      </c>
      <c r="I2" s="1" t="n">
        <v>7.53</v>
      </c>
    </row>
    <row r="3" customFormat="false" ht="13.5" hidden="false" customHeight="true" outlineLevel="0" collapsed="false">
      <c r="J3" s="5"/>
      <c r="K3" s="6"/>
      <c r="L3" s="7"/>
    </row>
    <row r="4" customFormat="false" ht="12.75" hidden="false" customHeight="true" outlineLevel="0" collapsed="false">
      <c r="B4" s="5"/>
      <c r="C4" s="6" t="s">
        <v>35</v>
      </c>
      <c r="D4" s="7"/>
      <c r="F4" s="5"/>
      <c r="G4" s="6" t="s">
        <v>36</v>
      </c>
      <c r="H4" s="7"/>
      <c r="J4" s="8"/>
      <c r="K4" s="3" t="s">
        <v>37</v>
      </c>
      <c r="L4" s="9" t="s">
        <v>38</v>
      </c>
    </row>
    <row r="5" customFormat="false" ht="12.75" hidden="false" customHeight="true" outlineLevel="0" collapsed="false">
      <c r="B5" s="8"/>
      <c r="C5" s="3"/>
      <c r="D5" s="9"/>
      <c r="F5" s="8"/>
      <c r="G5" s="3" t="s">
        <v>39</v>
      </c>
      <c r="H5" s="9"/>
      <c r="J5" s="8" t="s">
        <v>40</v>
      </c>
      <c r="K5" s="3" t="n">
        <v>1</v>
      </c>
      <c r="L5" s="9" t="n">
        <v>9</v>
      </c>
    </row>
    <row r="6" customFormat="false" ht="12.75" hidden="false" customHeight="true" outlineLevel="0" collapsed="false">
      <c r="B6" s="8"/>
      <c r="C6" s="3"/>
      <c r="D6" s="9"/>
      <c r="F6" s="8"/>
      <c r="G6" s="3"/>
      <c r="H6" s="9"/>
      <c r="J6" s="8"/>
      <c r="K6" s="3"/>
      <c r="L6" s="9"/>
    </row>
    <row r="7" customFormat="false" ht="12.75" hidden="false" customHeight="true" outlineLevel="0" collapsed="false">
      <c r="B7" s="8" t="s">
        <v>41</v>
      </c>
      <c r="C7" s="3" t="n">
        <v>138.17</v>
      </c>
      <c r="D7" s="9"/>
      <c r="F7" s="8" t="s">
        <v>41</v>
      </c>
      <c r="G7" s="3" t="n">
        <v>1054.29</v>
      </c>
      <c r="H7" s="9"/>
      <c r="J7" s="8"/>
      <c r="K7" s="3"/>
      <c r="L7" s="9"/>
    </row>
    <row r="8" customFormat="false" ht="12.75" hidden="false" customHeight="true" outlineLevel="0" collapsed="false">
      <c r="B8" s="8" t="s">
        <v>42</v>
      </c>
      <c r="C8" s="3" t="n">
        <v>0.15335</v>
      </c>
      <c r="D8" s="9"/>
      <c r="F8" s="8" t="s">
        <v>42</v>
      </c>
      <c r="G8" s="3" t="n">
        <v>0.0203</v>
      </c>
      <c r="H8" s="9"/>
      <c r="J8" s="8"/>
      <c r="K8" s="3" t="s">
        <v>43</v>
      </c>
      <c r="L8" s="9"/>
    </row>
    <row r="9" customFormat="false" ht="12.75" hidden="false" customHeight="true" outlineLevel="0" collapsed="false">
      <c r="B9" s="8" t="s">
        <v>44</v>
      </c>
      <c r="C9" s="3" t="n">
        <v>0.06</v>
      </c>
      <c r="D9" s="9"/>
      <c r="F9" s="8" t="s">
        <v>44</v>
      </c>
      <c r="G9" s="3" t="n">
        <v>0.004</v>
      </c>
      <c r="H9" s="9"/>
      <c r="J9" s="8" t="s">
        <v>45</v>
      </c>
      <c r="K9" s="3" t="n">
        <f aca="false">55*(0.3/10)</f>
        <v>1.65</v>
      </c>
      <c r="L9" s="9"/>
    </row>
    <row r="10" customFormat="false" ht="12.75" hidden="false" customHeight="true" outlineLevel="0" collapsed="false">
      <c r="B10" s="8" t="s">
        <v>46</v>
      </c>
      <c r="C10" s="3" t="n">
        <f aca="false">C8/C7</f>
        <v>0.001109864659</v>
      </c>
      <c r="D10" s="9"/>
      <c r="F10" s="8" t="s">
        <v>46</v>
      </c>
      <c r="G10" s="3" t="n">
        <f aca="false">G8/G7</f>
        <v>1.925466428E-005</v>
      </c>
      <c r="H10" s="9"/>
      <c r="J10" s="8"/>
      <c r="K10" s="3"/>
      <c r="L10" s="9"/>
    </row>
    <row r="11" customFormat="false" ht="12.75" hidden="false" customHeight="true" outlineLevel="0" collapsed="false">
      <c r="B11" s="8" t="s">
        <v>45</v>
      </c>
      <c r="C11" s="3" t="n">
        <f aca="false">C10/C9</f>
        <v>0.01849774432</v>
      </c>
      <c r="D11" s="9"/>
      <c r="F11" s="8" t="s">
        <v>45</v>
      </c>
      <c r="G11" s="3" t="n">
        <f aca="false">G10/G9</f>
        <v>0.004813666069</v>
      </c>
      <c r="H11" s="9"/>
      <c r="J11" s="8"/>
      <c r="K11" s="3" t="s">
        <v>47</v>
      </c>
      <c r="L11" s="9" t="n">
        <v>8.5</v>
      </c>
    </row>
    <row r="12" customFormat="false" ht="13.5" hidden="false" customHeight="true" outlineLevel="0" collapsed="false">
      <c r="B12" s="10" t="s">
        <v>48</v>
      </c>
      <c r="C12" s="4" t="n">
        <f aca="false">C11*1000</f>
        <v>18.49774432</v>
      </c>
      <c r="D12" s="11"/>
      <c r="F12" s="8" t="s">
        <v>48</v>
      </c>
      <c r="G12" s="3" t="n">
        <f aca="false">G11*1000</f>
        <v>4.813666069</v>
      </c>
      <c r="H12" s="9"/>
      <c r="J12" s="8"/>
      <c r="K12" s="3" t="s">
        <v>49</v>
      </c>
      <c r="L12" s="9" t="n">
        <v>25</v>
      </c>
    </row>
    <row r="13" customFormat="false" ht="13.5" hidden="false" customHeight="true" outlineLevel="0" collapsed="false">
      <c r="F13" s="10" t="s">
        <v>50</v>
      </c>
      <c r="G13" s="4" t="n">
        <f aca="false">E20*G12/H20</f>
        <v>0.2406833035</v>
      </c>
      <c r="H13" s="11" t="s">
        <v>48</v>
      </c>
      <c r="J13" s="10"/>
      <c r="K13" s="4"/>
      <c r="L13" s="11"/>
    </row>
    <row r="14" customFormat="false" ht="12.75" hidden="false" customHeight="true" outlineLevel="0" collapsed="false"/>
    <row r="15" customFormat="false" ht="12.75" hidden="false" customHeight="true" outlineLevel="0" collapsed="false">
      <c r="G15" s="1" t="n">
        <v>0.240683303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I18" s="1" t="s">
        <v>51</v>
      </c>
      <c r="J18" s="1" t="s">
        <v>51</v>
      </c>
      <c r="K18" s="1" t="s">
        <v>43</v>
      </c>
      <c r="L18" s="1" t="s">
        <v>43</v>
      </c>
      <c r="M18" s="1" t="s">
        <v>52</v>
      </c>
    </row>
    <row r="19" customFormat="false" ht="13.5" hidden="false" customHeight="true" outlineLevel="0" collapsed="false">
      <c r="B19" s="12" t="s">
        <v>50</v>
      </c>
      <c r="C19" s="4" t="s">
        <v>53</v>
      </c>
      <c r="D19" s="4" t="s">
        <v>54</v>
      </c>
      <c r="E19" s="4" t="s">
        <v>55</v>
      </c>
      <c r="F19" s="4" t="s">
        <v>56</v>
      </c>
      <c r="G19" s="4" t="s">
        <v>57</v>
      </c>
      <c r="H19" s="4" t="s">
        <v>58</v>
      </c>
      <c r="I19" s="4" t="s">
        <v>45</v>
      </c>
      <c r="J19" s="4" t="s">
        <v>48</v>
      </c>
      <c r="K19" s="4" t="s">
        <v>45</v>
      </c>
      <c r="L19" s="4" t="s">
        <v>48</v>
      </c>
      <c r="M19" s="4" t="s">
        <v>48</v>
      </c>
    </row>
    <row r="20" customFormat="false" ht="12.75" hidden="false" customHeight="true" outlineLevel="0" collapsed="false">
      <c r="B20" s="13" t="n">
        <v>1</v>
      </c>
      <c r="C20" s="1" t="n">
        <v>1.6</v>
      </c>
      <c r="D20" s="1" t="n">
        <v>0</v>
      </c>
      <c r="E20" s="1" t="n">
        <v>0.1</v>
      </c>
      <c r="F20" s="1" t="n">
        <v>0.2</v>
      </c>
      <c r="G20" s="1" t="n">
        <v>0.1</v>
      </c>
      <c r="H20" s="1" t="n">
        <f aca="false">SUM(C20:G20)</f>
        <v>2</v>
      </c>
      <c r="I20" s="1" t="n">
        <f aca="false">F20*$C$11/H20</f>
        <v>0.001849774432</v>
      </c>
      <c r="J20" s="14" t="n">
        <f aca="false">I20*1000</f>
        <v>1.849774432</v>
      </c>
      <c r="K20" s="15" t="n">
        <f aca="false">(G20*$K$9)/H20</f>
        <v>0.0825</v>
      </c>
      <c r="L20" s="15" t="n">
        <f aca="false">K20*1000</f>
        <v>82.5</v>
      </c>
      <c r="M20" s="14" t="n">
        <f aca="false">E20*$G$12/H20</f>
        <v>0.24068330345</v>
      </c>
    </row>
    <row r="21" customFormat="false" ht="12.75" hidden="false" customHeight="true" outlineLevel="0" collapsed="false">
      <c r="B21" s="13" t="n">
        <v>2</v>
      </c>
      <c r="C21" s="1" t="n">
        <v>1.4</v>
      </c>
      <c r="D21" s="1" t="n">
        <v>0</v>
      </c>
      <c r="E21" s="1" t="n">
        <v>0.1</v>
      </c>
      <c r="F21" s="1" t="n">
        <v>0.4</v>
      </c>
      <c r="G21" s="1" t="n">
        <v>0.1</v>
      </c>
      <c r="H21" s="1" t="n">
        <f aca="false">SUM(C21:G21)</f>
        <v>2</v>
      </c>
      <c r="I21" s="1" t="n">
        <f aca="false">F21*$C$11/H21</f>
        <v>0.003699548864</v>
      </c>
      <c r="J21" s="14" t="n">
        <f aca="false">I21*1000</f>
        <v>3.699548864</v>
      </c>
      <c r="K21" s="15" t="n">
        <f aca="false">(G21*$K$9)/H21</f>
        <v>0.0825</v>
      </c>
      <c r="L21" s="15" t="n">
        <f aca="false">K21*1000</f>
        <v>82.5</v>
      </c>
      <c r="M21" s="14" t="n">
        <f aca="false">E21*$G$12/H21</f>
        <v>0.24068330345</v>
      </c>
    </row>
    <row r="22" customFormat="false" ht="12.75" hidden="false" customHeight="true" outlineLevel="0" collapsed="false">
      <c r="B22" s="13" t="n">
        <v>3</v>
      </c>
      <c r="C22" s="1" t="n">
        <v>1.2</v>
      </c>
      <c r="D22" s="1" t="n">
        <v>0</v>
      </c>
      <c r="E22" s="1" t="n">
        <v>0.1</v>
      </c>
      <c r="F22" s="1" t="n">
        <v>0.6</v>
      </c>
      <c r="G22" s="1" t="n">
        <v>0.1</v>
      </c>
      <c r="H22" s="1" t="n">
        <f aca="false">SUM(C22:G22)</f>
        <v>2</v>
      </c>
      <c r="I22" s="1" t="n">
        <f aca="false">F22*$C$11/H22</f>
        <v>0.005549323296</v>
      </c>
      <c r="J22" s="14" t="n">
        <f aca="false">I22*1000</f>
        <v>5.549323296</v>
      </c>
      <c r="K22" s="15" t="n">
        <f aca="false">(G22*$K$9)/H22</f>
        <v>0.0825</v>
      </c>
      <c r="L22" s="15" t="n">
        <f aca="false">K22*1000</f>
        <v>82.5</v>
      </c>
      <c r="M22" s="14" t="n">
        <f aca="false">E22*$G$12/H22</f>
        <v>0.24068330345</v>
      </c>
    </row>
    <row r="23" customFormat="false" ht="12.75" hidden="false" customHeight="true" outlineLevel="0" collapsed="false">
      <c r="B23" s="16" t="n">
        <v>4</v>
      </c>
      <c r="C23" s="16" t="n">
        <v>1</v>
      </c>
      <c r="D23" s="16" t="n">
        <v>0</v>
      </c>
      <c r="E23" s="16" t="n">
        <v>0.1</v>
      </c>
      <c r="F23" s="16" t="n">
        <v>0.8</v>
      </c>
      <c r="G23" s="16" t="n">
        <v>0.1</v>
      </c>
      <c r="H23" s="16" t="n">
        <f aca="false">SUM(C23:G23)</f>
        <v>2</v>
      </c>
      <c r="I23" s="16" t="n">
        <f aca="false">F23*$C$11/H23</f>
        <v>0.007399097728</v>
      </c>
      <c r="J23" s="17" t="n">
        <f aca="false">I23*1000</f>
        <v>7.399097728</v>
      </c>
      <c r="K23" s="17" t="n">
        <f aca="false">(G23*$K$9)/H23</f>
        <v>0.0825</v>
      </c>
      <c r="L23" s="17" t="n">
        <f aca="false">K23*1000</f>
        <v>82.5</v>
      </c>
      <c r="M23" s="14" t="n">
        <f aca="false">E23*$G$12/H23</f>
        <v>0.24068330345</v>
      </c>
    </row>
    <row r="24" customFormat="false" ht="12.75" hidden="false" customHeight="true" outlineLevel="0" collapsed="false">
      <c r="B24" s="13" t="n">
        <v>5</v>
      </c>
      <c r="C24" s="1" t="n">
        <v>1.6</v>
      </c>
      <c r="D24" s="3" t="n">
        <v>0.1</v>
      </c>
      <c r="E24" s="3" t="n">
        <v>0</v>
      </c>
      <c r="F24" s="1" t="n">
        <v>0.2</v>
      </c>
      <c r="G24" s="3" t="n">
        <v>0.1</v>
      </c>
      <c r="H24" s="1" t="n">
        <f aca="false">SUM(C24:G24)</f>
        <v>2</v>
      </c>
      <c r="I24" s="1" t="n">
        <f aca="false">F24*$C$11/H24</f>
        <v>0.001849774432</v>
      </c>
      <c r="J24" s="1" t="n">
        <f aca="false">I24*1000</f>
        <v>1.849774432</v>
      </c>
      <c r="K24" s="3" t="n">
        <f aca="false">(G24*$K$9)/H24</f>
        <v>0.0825</v>
      </c>
      <c r="L24" s="3" t="n">
        <f aca="false">K24*1000</f>
        <v>82.5</v>
      </c>
      <c r="M24" s="1" t="n">
        <f aca="false">E24*$G$12/H24</f>
        <v>0</v>
      </c>
    </row>
    <row r="25" customFormat="false" ht="12.75" hidden="false" customHeight="true" outlineLevel="0" collapsed="false">
      <c r="B25" s="13" t="n">
        <v>6</v>
      </c>
      <c r="C25" s="1" t="n">
        <v>1.4</v>
      </c>
      <c r="D25" s="3" t="n">
        <v>0.1</v>
      </c>
      <c r="E25" s="3" t="n">
        <v>0</v>
      </c>
      <c r="F25" s="1" t="n">
        <v>0.4</v>
      </c>
      <c r="G25" s="3" t="n">
        <v>0.1</v>
      </c>
      <c r="H25" s="1" t="n">
        <f aca="false">SUM(C25:G25)</f>
        <v>2</v>
      </c>
      <c r="I25" s="1" t="n">
        <f aca="false">F25*$C$11/H25</f>
        <v>0.003699548864</v>
      </c>
      <c r="J25" s="1" t="n">
        <f aca="false">I25*1000</f>
        <v>3.699548864</v>
      </c>
      <c r="K25" s="3" t="n">
        <f aca="false">(G25*$K$9)/H25</f>
        <v>0.0825</v>
      </c>
      <c r="L25" s="3" t="n">
        <f aca="false">K25*1000</f>
        <v>82.5</v>
      </c>
      <c r="M25" s="1" t="n">
        <f aca="false">E25*$G$12/H25</f>
        <v>0</v>
      </c>
    </row>
    <row r="26" customFormat="false" ht="12.75" hidden="false" customHeight="true" outlineLevel="0" collapsed="false">
      <c r="B26" s="13" t="n">
        <v>7</v>
      </c>
      <c r="C26" s="1" t="n">
        <v>1.2</v>
      </c>
      <c r="D26" s="3" t="n">
        <v>0.1</v>
      </c>
      <c r="E26" s="3" t="n">
        <v>0</v>
      </c>
      <c r="F26" s="1" t="n">
        <v>0.6</v>
      </c>
      <c r="G26" s="3" t="n">
        <v>0.1</v>
      </c>
      <c r="H26" s="1" t="n">
        <f aca="false">SUM(C26:G26)</f>
        <v>2</v>
      </c>
      <c r="I26" s="1" t="n">
        <f aca="false">F26*$C$11/H26</f>
        <v>0.005549323296</v>
      </c>
      <c r="J26" s="1" t="n">
        <f aca="false">I26*1000</f>
        <v>5.549323296</v>
      </c>
      <c r="K26" s="3" t="n">
        <f aca="false">(G26*$K$9)/H26</f>
        <v>0.0825</v>
      </c>
      <c r="L26" s="3" t="n">
        <f aca="false">K26*1000</f>
        <v>82.5</v>
      </c>
      <c r="M26" s="1" t="n">
        <f aca="false">E26*$G$12/H26</f>
        <v>0</v>
      </c>
    </row>
    <row r="27" customFormat="false" ht="13.5" hidden="false" customHeight="true" outlineLevel="0" collapsed="false">
      <c r="B27" s="12" t="n">
        <v>8</v>
      </c>
      <c r="C27" s="4" t="n">
        <v>1</v>
      </c>
      <c r="D27" s="4" t="n">
        <v>0.1</v>
      </c>
      <c r="E27" s="4" t="n">
        <v>0</v>
      </c>
      <c r="F27" s="4" t="n">
        <v>0.8</v>
      </c>
      <c r="G27" s="4" t="n">
        <v>0.1</v>
      </c>
      <c r="H27" s="4" t="n">
        <f aca="false">SUM(C27:G27)</f>
        <v>2</v>
      </c>
      <c r="I27" s="4" t="n">
        <f aca="false">F27*$C$11/H27</f>
        <v>0.007399097728</v>
      </c>
      <c r="J27" s="4" t="n">
        <f aca="false">I27*1000</f>
        <v>7.399097728</v>
      </c>
      <c r="K27" s="4" t="n">
        <f aca="false">(G27*$K$9)/H27</f>
        <v>0.0825</v>
      </c>
      <c r="L27" s="4" t="n">
        <f aca="false">K27*1000</f>
        <v>82.5</v>
      </c>
      <c r="M27" s="4" t="n">
        <f aca="false">E27*$G$12/H27</f>
        <v>0</v>
      </c>
    </row>
    <row r="28" customFormat="false" ht="12.75" hidden="false" customHeight="true" outlineLevel="0" collapsed="false">
      <c r="C28" s="1" t="n">
        <f aca="false">SUM(C20:C27)</f>
        <v>10.4</v>
      </c>
      <c r="D28" s="1" t="n">
        <f aca="false">SUM(D20:D27)</f>
        <v>0.4</v>
      </c>
      <c r="E28" s="1" t="n">
        <f aca="false">SUM(E20:E27)</f>
        <v>0.4</v>
      </c>
      <c r="F28" s="1" t="n">
        <f aca="false">SUM(F20:F27)</f>
        <v>4</v>
      </c>
      <c r="G28" s="1" t="n">
        <f aca="false">SUM(G20:G27)</f>
        <v>0.8</v>
      </c>
    </row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>
      <c r="J31" s="1" t="n">
        <v>0.00123538</v>
      </c>
    </row>
    <row r="32" customFormat="false" ht="12.75" hidden="false" customHeight="true" outlineLevel="0" collapsed="false">
      <c r="E32" s="1" t="n">
        <v>0.240683303</v>
      </c>
    </row>
    <row r="33" customFormat="false" ht="12.75" hidden="false" customHeight="true" outlineLevel="0" collapsed="false">
      <c r="M33" s="1" t="n">
        <v>0.007361396</v>
      </c>
    </row>
    <row r="34" customFormat="false" ht="12.75" hidden="false" customHeight="true" outlineLevel="0" collapsed="false">
      <c r="J34" s="1" t="n">
        <v>0.000297335</v>
      </c>
      <c r="L34" s="18"/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>
      <c r="I38" s="1" t="s">
        <v>59</v>
      </c>
      <c r="J38" s="3" t="n">
        <v>0.0133413911865791</v>
      </c>
      <c r="K38" s="1" t="s">
        <v>60</v>
      </c>
    </row>
    <row r="39" customFormat="false" ht="12.75" hidden="false" customHeight="true" outlineLevel="0" collapsed="false">
      <c r="H39" s="18"/>
      <c r="I39" s="1" t="s">
        <v>59</v>
      </c>
      <c r="J39" s="1" t="n">
        <f aca="false">J38/I2</f>
        <v>0.001771765098</v>
      </c>
      <c r="K39" s="1" t="s">
        <v>61</v>
      </c>
      <c r="M39" s="1" t="n">
        <v>0.001771765</v>
      </c>
    </row>
    <row r="40" customFormat="false" ht="12.75" hidden="false" customHeight="true" outlineLevel="0" collapsed="false">
      <c r="I40" s="1" t="s">
        <v>62</v>
      </c>
      <c r="J40" s="3" t="n">
        <v>0.0773373841163784</v>
      </c>
      <c r="K40" s="1" t="s">
        <v>63</v>
      </c>
    </row>
    <row r="41" customFormat="false" ht="12.75" hidden="false" customHeight="true" outlineLevel="0" collapsed="false">
      <c r="I41" s="1" t="s">
        <v>64</v>
      </c>
      <c r="J41" s="1" t="n">
        <f aca="false">J39/G13</f>
        <v>0.007361395961</v>
      </c>
      <c r="K41" s="1" t="s">
        <v>65</v>
      </c>
    </row>
    <row r="42" customFormat="false" ht="12.75" hidden="false" customHeight="true" outlineLevel="0" collapsed="false">
      <c r="J42" s="1" t="n">
        <f aca="false">J41/60</f>
        <v>0.0001226899327</v>
      </c>
      <c r="K42" s="1" t="s">
        <v>66</v>
      </c>
    </row>
    <row r="43" customFormat="false" ht="12.75" hidden="false" customHeight="true" outlineLevel="0" collapsed="false">
      <c r="I43" s="1" t="s">
        <v>67</v>
      </c>
      <c r="J43" s="18" t="n">
        <v>1.43E-009</v>
      </c>
      <c r="K43" s="1" t="s">
        <v>68</v>
      </c>
    </row>
    <row r="44" customFormat="false" ht="12.75" hidden="false" customHeight="true" outlineLevel="0" collapsed="false">
      <c r="J44" s="19" t="n">
        <f aca="false">60*J43</f>
        <v>8.58E-008</v>
      </c>
      <c r="K44" s="1" t="s">
        <v>65</v>
      </c>
    </row>
    <row r="45" customFormat="false" ht="12.75" hidden="false" customHeight="true" outlineLevel="0" collapsed="false">
      <c r="I45" s="1" t="s">
        <v>69</v>
      </c>
      <c r="J45" s="18" t="n">
        <f aca="false">J42/J43</f>
        <v>85797.15572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5" t="s">
        <v>70</v>
      </c>
      <c r="D86" s="6"/>
      <c r="E86" s="6"/>
      <c r="F86" s="6"/>
      <c r="G86" s="6"/>
      <c r="H86" s="6"/>
      <c r="I86" s="6"/>
      <c r="J86" s="6"/>
      <c r="K86" s="6"/>
      <c r="L86" s="7"/>
      <c r="M86" s="3"/>
    </row>
    <row r="87" customFormat="false" ht="12.75" hidden="false" customHeight="true" outlineLevel="0" collapsed="false">
      <c r="B87" s="3"/>
      <c r="C87" s="8" t="s">
        <v>71</v>
      </c>
      <c r="D87" s="3"/>
      <c r="E87" s="3"/>
      <c r="F87" s="3"/>
      <c r="G87" s="3"/>
      <c r="H87" s="3"/>
      <c r="I87" s="3"/>
      <c r="J87" s="3"/>
      <c r="K87" s="3"/>
      <c r="L87" s="9"/>
      <c r="M87" s="3"/>
    </row>
    <row r="88" customFormat="false" ht="12.75" hidden="false" customHeight="true" outlineLevel="0" collapsed="false">
      <c r="B88" s="3"/>
      <c r="C88" s="8" t="s">
        <v>72</v>
      </c>
      <c r="D88" s="3"/>
      <c r="E88" s="3"/>
      <c r="F88" s="3"/>
      <c r="G88" s="3"/>
      <c r="H88" s="3"/>
      <c r="I88" s="3"/>
      <c r="J88" s="3"/>
      <c r="K88" s="3"/>
      <c r="L88" s="9"/>
      <c r="M88" s="3"/>
    </row>
    <row r="89" customFormat="false" ht="13.5" hidden="false" customHeight="true" outlineLevel="0" collapsed="false">
      <c r="B89" s="3"/>
      <c r="C89" s="10" t="s">
        <v>73</v>
      </c>
      <c r="D89" s="4"/>
      <c r="E89" s="4"/>
      <c r="F89" s="4"/>
      <c r="G89" s="4"/>
      <c r="H89" s="4"/>
      <c r="I89" s="4"/>
      <c r="J89" s="4"/>
      <c r="K89" s="4"/>
      <c r="L89" s="11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3"/>
      <c r="D94" s="3"/>
      <c r="E94" s="3"/>
      <c r="F94" s="3"/>
      <c r="G94" s="3"/>
      <c r="H94" s="3"/>
      <c r="I94" s="3"/>
      <c r="J94" s="3"/>
      <c r="K94" s="20"/>
      <c r="L94" s="3"/>
      <c r="M94" s="3"/>
    </row>
    <row r="95" customFormat="false" ht="12.75" hidden="false" customHeight="true" outlineLevel="0" collapsed="false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3.5" hidden="false" customHeight="true" outlineLevel="0" collapsed="false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2.75" hidden="false" customHeight="true" outlineLevel="0" collapsed="false">
      <c r="B97" s="3"/>
      <c r="C97" s="5" t="s">
        <v>74</v>
      </c>
      <c r="D97" s="6"/>
      <c r="E97" s="6"/>
      <c r="F97" s="6"/>
      <c r="G97" s="6" t="s">
        <v>74</v>
      </c>
      <c r="H97" s="6"/>
      <c r="I97" s="6"/>
      <c r="J97" s="6"/>
      <c r="K97" s="7"/>
      <c r="L97" s="3"/>
      <c r="M97" s="3"/>
    </row>
    <row r="98" customFormat="false" ht="12.75" hidden="false" customHeight="true" outlineLevel="0" collapsed="false">
      <c r="B98" s="3"/>
      <c r="C98" s="8" t="s">
        <v>75</v>
      </c>
      <c r="D98" s="3"/>
      <c r="E98" s="3"/>
      <c r="F98" s="3"/>
      <c r="G98" s="3" t="s">
        <v>76</v>
      </c>
      <c r="H98" s="3"/>
      <c r="I98" s="3"/>
      <c r="J98" s="3"/>
      <c r="K98" s="9"/>
      <c r="L98" s="3"/>
      <c r="M98" s="3"/>
    </row>
    <row r="99" customFormat="false" ht="12.75" hidden="false" customHeight="true" outlineLevel="0" collapsed="false">
      <c r="B99" s="3"/>
      <c r="C99" s="8"/>
      <c r="D99" s="3" t="s">
        <v>77</v>
      </c>
      <c r="E99" s="3" t="s">
        <v>78</v>
      </c>
      <c r="F99" s="3"/>
      <c r="G99" s="3" t="s">
        <v>79</v>
      </c>
      <c r="H99" s="3"/>
      <c r="I99" s="3"/>
      <c r="J99" s="3"/>
      <c r="K99" s="9"/>
      <c r="L99" s="3"/>
      <c r="M99" s="3"/>
    </row>
    <row r="100" customFormat="false" ht="12.75" hidden="false" customHeight="true" outlineLevel="0" collapsed="false">
      <c r="B100" s="3"/>
      <c r="C100" s="8" t="s">
        <v>80</v>
      </c>
      <c r="D100" s="3"/>
      <c r="E100" s="3"/>
      <c r="F100" s="3"/>
      <c r="G100" s="3" t="s">
        <v>81</v>
      </c>
      <c r="H100" s="3" t="s">
        <v>82</v>
      </c>
      <c r="I100" s="3" t="s">
        <v>83</v>
      </c>
      <c r="J100" s="3" t="s">
        <v>84</v>
      </c>
      <c r="K100" s="9" t="s">
        <v>85</v>
      </c>
      <c r="L100" s="3"/>
      <c r="M100" s="3"/>
    </row>
    <row r="101" customFormat="false" ht="12.75" hidden="false" customHeight="true" outlineLevel="0" collapsed="false">
      <c r="B101" s="3"/>
      <c r="C101" s="8"/>
      <c r="D101" s="3" t="s">
        <v>86</v>
      </c>
      <c r="E101" s="3" t="n">
        <v>0.0133413911865791</v>
      </c>
      <c r="F101" s="3"/>
      <c r="G101" s="3" t="s">
        <v>87</v>
      </c>
      <c r="H101" s="3" t="n">
        <v>1.84980000025821</v>
      </c>
      <c r="I101" s="3" t="n">
        <v>0</v>
      </c>
      <c r="J101" s="3" t="n">
        <v>0.011791293197946</v>
      </c>
      <c r="K101" s="9" t="s">
        <v>88</v>
      </c>
      <c r="L101" s="3"/>
      <c r="M101" s="3"/>
    </row>
    <row r="102" customFormat="false" ht="12.75" hidden="false" customHeight="true" outlineLevel="0" collapsed="false">
      <c r="B102" s="3"/>
      <c r="C102" s="8"/>
      <c r="D102" s="3" t="s">
        <v>62</v>
      </c>
      <c r="E102" s="3" t="n">
        <v>0.0773373841163784</v>
      </c>
      <c r="F102" s="3"/>
      <c r="G102" s="3" t="s">
        <v>89</v>
      </c>
      <c r="H102" s="3" t="n">
        <v>3.696599999816</v>
      </c>
      <c r="I102" s="3" t="n">
        <v>0</v>
      </c>
      <c r="J102" s="3" t="n">
        <v>0.013454990263228</v>
      </c>
      <c r="K102" s="9" t="s">
        <v>88</v>
      </c>
      <c r="L102" s="3"/>
      <c r="M102" s="3"/>
    </row>
    <row r="103" customFormat="false" ht="12.75" hidden="false" customHeight="true" outlineLevel="0" collapsed="false">
      <c r="B103" s="3"/>
      <c r="C103" s="8" t="s">
        <v>90</v>
      </c>
      <c r="D103" s="3"/>
      <c r="E103" s="3"/>
      <c r="F103" s="3"/>
      <c r="G103" s="3" t="s">
        <v>91</v>
      </c>
      <c r="H103" s="3" t="n">
        <v>5.549299999793</v>
      </c>
      <c r="I103" s="3" t="n">
        <v>0</v>
      </c>
      <c r="J103" s="3" t="n">
        <v>0.013847757968727</v>
      </c>
      <c r="K103" s="9" t="s">
        <v>88</v>
      </c>
      <c r="L103" s="3"/>
      <c r="M103" s="3"/>
    </row>
    <row r="104" customFormat="false" ht="12.75" hidden="false" customHeight="true" outlineLevel="0" collapsed="false">
      <c r="B104" s="3"/>
      <c r="C104" s="8"/>
      <c r="D104" s="3" t="s">
        <v>92</v>
      </c>
      <c r="E104" s="3" t="n">
        <v>941.288740371008</v>
      </c>
      <c r="F104" s="3"/>
      <c r="G104" s="3" t="s">
        <v>93</v>
      </c>
      <c r="H104" s="3" t="n">
        <v>7.39899999972296</v>
      </c>
      <c r="I104" s="3" t="n">
        <v>0</v>
      </c>
      <c r="J104" s="3" t="n">
        <v>0.012821026078298</v>
      </c>
      <c r="K104" s="9" t="s">
        <v>88</v>
      </c>
      <c r="L104" s="3"/>
      <c r="M104" s="3"/>
    </row>
    <row r="105" customFormat="false" ht="13.5" hidden="false" customHeight="true" outlineLevel="0" collapsed="false">
      <c r="B105" s="3"/>
      <c r="C105" s="10"/>
      <c r="D105" s="4" t="s">
        <v>94</v>
      </c>
      <c r="E105" s="4" t="n">
        <v>0.995140487423336</v>
      </c>
      <c r="F105" s="4"/>
      <c r="G105" s="4"/>
      <c r="H105" s="4"/>
      <c r="I105" s="4"/>
      <c r="J105" s="4"/>
      <c r="K105" s="11"/>
      <c r="L105" s="3"/>
      <c r="M105" s="3"/>
    </row>
    <row r="106" customFormat="false" ht="12.75" hidden="false" customHeight="true" outlineLevel="0" collapsed="false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2.75" hidden="false" customHeight="true" outlineLevel="0" collapsed="false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customFormat="false" ht="12.75" hidden="false" customHeight="true" outlineLevel="0" collapsed="false">
      <c r="B108" s="3"/>
      <c r="L108" s="3"/>
      <c r="M108" s="3"/>
    </row>
    <row r="109" customFormat="false" ht="12.75" hidden="false" customHeight="true" outlineLevel="0" collapsed="false">
      <c r="B109" s="3"/>
      <c r="K109" s="3"/>
      <c r="L109" s="3"/>
      <c r="M109" s="3"/>
    </row>
    <row r="110" customFormat="false" ht="12.75" hidden="false" customHeight="true" outlineLevel="0" collapsed="false">
      <c r="B110" s="3"/>
      <c r="K110" s="3"/>
      <c r="L110" s="3"/>
      <c r="M110" s="3"/>
    </row>
    <row r="111" customFormat="false" ht="12.75" hidden="false" customHeight="true" outlineLevel="0" collapsed="false">
      <c r="B111" s="3"/>
      <c r="K111" s="3"/>
      <c r="L111" s="3"/>
      <c r="M111" s="3"/>
    </row>
    <row r="112" customFormat="false" ht="12.75" hidden="false" customHeight="true" outlineLevel="0" collapsed="false">
      <c r="B112" s="3"/>
      <c r="K112" s="3"/>
      <c r="L112" s="3"/>
      <c r="M112" s="3"/>
    </row>
    <row r="113" customFormat="false" ht="12.75" hidden="false" customHeight="true" outlineLevel="0" collapsed="false">
      <c r="B113" s="3"/>
      <c r="K113" s="3"/>
      <c r="L113" s="3"/>
      <c r="M113" s="3"/>
    </row>
    <row r="114" customFormat="false" ht="12.75" hidden="false" customHeight="true" outlineLevel="0" collapsed="false">
      <c r="B114" s="3"/>
      <c r="K114" s="3"/>
      <c r="L114" s="3"/>
      <c r="M114" s="3"/>
    </row>
    <row r="115" customFormat="false" ht="12.75" hidden="false" customHeight="true" outlineLevel="0" collapsed="false">
      <c r="B115" s="3"/>
      <c r="K115" s="3"/>
      <c r="L115" s="3"/>
      <c r="M115" s="3"/>
    </row>
    <row r="116" customFormat="false" ht="12.75" hidden="false" customHeight="true" outlineLevel="0" collapsed="false">
      <c r="B116" s="3"/>
      <c r="F116" s="3"/>
      <c r="G116" s="3"/>
      <c r="H116" s="3"/>
      <c r="I116" s="3"/>
      <c r="J116" s="3"/>
      <c r="K116" s="3"/>
      <c r="L116" s="3"/>
      <c r="M116" s="3"/>
    </row>
    <row r="117" customFormat="false" ht="12.75" hidden="false" customHeight="true" outlineLevel="0" collapsed="false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customFormat="false" ht="12.75" hidden="false" customHeight="true" outlineLevel="0" collapsed="false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customFormat="false" ht="12.75" hidden="false" customHeight="true" outlineLevel="0" collapsed="false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customFormat="false" ht="12.75" hidden="false" customHeight="true" outlineLevel="0" collapsed="false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2.86"/>
    <col collapsed="false" customWidth="true" hidden="false" outlineLevel="0" max="3" min="3" style="0" width="14.57"/>
    <col collapsed="false" customWidth="true" hidden="false" outlineLevel="0" max="4" min="4" style="0" width="12.71"/>
    <col collapsed="false" customWidth="true" hidden="false" outlineLevel="0" max="5" min="5" style="0" width="14.57"/>
    <col collapsed="false" customWidth="true" hidden="false" outlineLevel="0" max="6" min="6" style="0" width="12.71"/>
    <col collapsed="false" customWidth="true" hidden="false" outlineLevel="0" max="7" min="7" style="0" width="14.57"/>
    <col collapsed="false" customWidth="true" hidden="false" outlineLevel="0" max="8" min="8" style="0" width="12.71"/>
    <col collapsed="false" customWidth="true" hidden="false" outlineLevel="0" max="26" min="9" style="0" width="8"/>
  </cols>
  <sheetData>
    <row r="1" customFormat="false" ht="12.75" hidden="false" customHeight="true" outlineLevel="0" collapsed="false">
      <c r="A1" s="1" t="s">
        <v>95</v>
      </c>
      <c r="B1" s="1" t="s">
        <v>96</v>
      </c>
    </row>
    <row r="2" customFormat="false" ht="12.75" hidden="false" customHeight="true" outlineLevel="0" collapsed="false">
      <c r="A2" s="1" t="s">
        <v>97</v>
      </c>
      <c r="B2" s="1" t="n">
        <v>161008</v>
      </c>
    </row>
    <row r="3" customFormat="false" ht="12.75" hidden="false" customHeight="true" outlineLevel="0" collapsed="false">
      <c r="A3" s="1" t="s">
        <v>81</v>
      </c>
      <c r="B3" s="1" t="s">
        <v>87</v>
      </c>
      <c r="C3" s="1" t="s">
        <v>81</v>
      </c>
      <c r="D3" s="1" t="s">
        <v>89</v>
      </c>
      <c r="E3" s="1" t="s">
        <v>81</v>
      </c>
      <c r="F3" s="1" t="s">
        <v>91</v>
      </c>
      <c r="G3" s="1" t="s">
        <v>81</v>
      </c>
      <c r="H3" s="1" t="s">
        <v>93</v>
      </c>
    </row>
    <row r="4" customFormat="false" ht="12.75" hidden="false" customHeight="true" outlineLevel="0" collapsed="false">
      <c r="A4" s="1" t="s">
        <v>98</v>
      </c>
      <c r="B4" s="1" t="s">
        <v>99</v>
      </c>
      <c r="C4" s="1" t="s">
        <v>98</v>
      </c>
      <c r="D4" s="1" t="s">
        <v>99</v>
      </c>
      <c r="E4" s="1" t="s">
        <v>98</v>
      </c>
      <c r="F4" s="1" t="s">
        <v>99</v>
      </c>
      <c r="G4" s="1" t="s">
        <v>98</v>
      </c>
      <c r="H4" s="1" t="s">
        <v>99</v>
      </c>
    </row>
    <row r="5" customFormat="false" ht="12.75" hidden="false" customHeight="true" outlineLevel="0" collapsed="false">
      <c r="A5" s="1" t="s">
        <v>100</v>
      </c>
      <c r="B5" s="1" t="s">
        <v>101</v>
      </c>
      <c r="C5" s="1" t="s">
        <v>100</v>
      </c>
      <c r="D5" s="1" t="s">
        <v>101</v>
      </c>
      <c r="E5" s="1" t="s">
        <v>100</v>
      </c>
      <c r="F5" s="1" t="s">
        <v>101</v>
      </c>
      <c r="G5" s="1" t="s">
        <v>100</v>
      </c>
      <c r="H5" s="1" t="s">
        <v>101</v>
      </c>
    </row>
    <row r="6" customFormat="false" ht="12.75" hidden="false" customHeight="true" outlineLevel="0" collapsed="false">
      <c r="A6" s="1" t="s">
        <v>102</v>
      </c>
      <c r="B6" s="21" t="n">
        <v>40288</v>
      </c>
      <c r="C6" s="1" t="s">
        <v>102</v>
      </c>
      <c r="D6" s="21" t="n">
        <v>40288</v>
      </c>
      <c r="E6" s="1" t="s">
        <v>102</v>
      </c>
      <c r="F6" s="21" t="n">
        <v>40288</v>
      </c>
      <c r="G6" s="1" t="s">
        <v>102</v>
      </c>
      <c r="H6" s="21" t="n">
        <v>40288</v>
      </c>
    </row>
    <row r="7" customFormat="false" ht="12.75" hidden="false" customHeight="true" outlineLevel="0" collapsed="false">
      <c r="A7" s="1" t="s">
        <v>103</v>
      </c>
      <c r="B7" s="1" t="s">
        <v>104</v>
      </c>
      <c r="C7" s="1" t="s">
        <v>103</v>
      </c>
      <c r="D7" s="1" t="s">
        <v>105</v>
      </c>
      <c r="E7" s="1" t="s">
        <v>103</v>
      </c>
      <c r="F7" s="1" t="s">
        <v>106</v>
      </c>
      <c r="G7" s="1" t="s">
        <v>103</v>
      </c>
      <c r="H7" s="1" t="s">
        <v>107</v>
      </c>
    </row>
    <row r="8" customFormat="false" ht="12.75" hidden="false" customHeight="true" outlineLevel="0" collapsed="false"/>
    <row r="9" customFormat="false" ht="12.75" hidden="false" customHeight="true" outlineLevel="0" collapsed="false">
      <c r="A9" s="1" t="s">
        <v>108</v>
      </c>
      <c r="B9" s="1" t="s">
        <v>109</v>
      </c>
      <c r="C9" s="1" t="s">
        <v>108</v>
      </c>
      <c r="D9" s="1" t="s">
        <v>110</v>
      </c>
      <c r="E9" s="1" t="s">
        <v>108</v>
      </c>
      <c r="F9" s="1" t="s">
        <v>111</v>
      </c>
      <c r="G9" s="1" t="s">
        <v>108</v>
      </c>
      <c r="H9" s="1" t="s">
        <v>112</v>
      </c>
    </row>
    <row r="10" customFormat="false" ht="12.75" hidden="false" customHeight="true" outlineLevel="0" collapsed="false">
      <c r="A10" s="1" t="s">
        <v>113</v>
      </c>
      <c r="B10" s="1" t="s">
        <v>114</v>
      </c>
      <c r="C10" s="1" t="s">
        <v>113</v>
      </c>
      <c r="D10" s="1" t="s">
        <v>114</v>
      </c>
      <c r="E10" s="1" t="s">
        <v>113</v>
      </c>
      <c r="F10" s="1" t="s">
        <v>114</v>
      </c>
      <c r="G10" s="1" t="s">
        <v>113</v>
      </c>
      <c r="H10" s="1" t="s">
        <v>114</v>
      </c>
    </row>
    <row r="11" customFormat="false" ht="12.75" hidden="false" customHeight="true" outlineLevel="0" collapsed="false">
      <c r="A11" s="1" t="n">
        <v>0</v>
      </c>
      <c r="B11" s="1" t="n">
        <v>0.002</v>
      </c>
      <c r="C11" s="1" t="n">
        <v>0</v>
      </c>
      <c r="D11" s="1" t="n">
        <v>0.02</v>
      </c>
      <c r="E11" s="1" t="n">
        <v>0</v>
      </c>
      <c r="F11" s="1" t="n">
        <v>0.03</v>
      </c>
      <c r="G11" s="1" t="n">
        <v>0</v>
      </c>
      <c r="H11" s="1" t="n">
        <v>0.021</v>
      </c>
    </row>
    <row r="12" customFormat="false" ht="12.75" hidden="false" customHeight="true" outlineLevel="0" collapsed="false">
      <c r="A12" s="1" t="n">
        <v>49</v>
      </c>
      <c r="B12" s="1" t="n">
        <v>0.012</v>
      </c>
      <c r="C12" s="1" t="n">
        <v>49</v>
      </c>
      <c r="D12" s="1" t="n">
        <v>0.029</v>
      </c>
      <c r="E12" s="1" t="n">
        <v>49</v>
      </c>
      <c r="F12" s="1" t="n">
        <v>0.04</v>
      </c>
      <c r="G12" s="1" t="n">
        <v>49</v>
      </c>
      <c r="H12" s="1" t="n">
        <v>0.03</v>
      </c>
    </row>
    <row r="13" customFormat="false" ht="12.75" hidden="false" customHeight="true" outlineLevel="0" collapsed="false">
      <c r="A13" s="1" t="n">
        <v>98</v>
      </c>
      <c r="B13" s="1" t="n">
        <v>0.021</v>
      </c>
      <c r="C13" s="1" t="n">
        <v>98</v>
      </c>
      <c r="D13" s="1" t="n">
        <v>0.04</v>
      </c>
      <c r="E13" s="1" t="n">
        <v>98</v>
      </c>
      <c r="F13" s="1" t="n">
        <v>0.052</v>
      </c>
      <c r="G13" s="1" t="n">
        <v>98</v>
      </c>
      <c r="H13" s="1" t="n">
        <v>0.041</v>
      </c>
    </row>
    <row r="14" customFormat="false" ht="12.75" hidden="false" customHeight="true" outlineLevel="0" collapsed="false">
      <c r="A14" s="1" t="n">
        <v>147</v>
      </c>
      <c r="B14" s="1" t="n">
        <v>0.031</v>
      </c>
      <c r="C14" s="1" t="n">
        <v>147</v>
      </c>
      <c r="D14" s="1" t="n">
        <v>0.051</v>
      </c>
      <c r="E14" s="1" t="n">
        <v>147</v>
      </c>
      <c r="F14" s="1" t="n">
        <v>0.064</v>
      </c>
      <c r="G14" s="1" t="n">
        <v>147</v>
      </c>
      <c r="H14" s="1" t="n">
        <v>0.051</v>
      </c>
    </row>
    <row r="15" customFormat="false" ht="12.75" hidden="false" customHeight="true" outlineLevel="0" collapsed="false">
      <c r="A15" s="1" t="n">
        <v>196</v>
      </c>
      <c r="B15" s="1" t="n">
        <v>0.04</v>
      </c>
      <c r="C15" s="1" t="n">
        <v>196</v>
      </c>
      <c r="D15" s="1" t="n">
        <v>0.062</v>
      </c>
      <c r="E15" s="1" t="n">
        <v>196</v>
      </c>
      <c r="F15" s="1" t="n">
        <v>0.075</v>
      </c>
      <c r="G15" s="1" t="n">
        <v>196</v>
      </c>
      <c r="H15" s="1" t="n">
        <v>0.062</v>
      </c>
    </row>
    <row r="16" customFormat="false" ht="12.75" hidden="false" customHeight="true" outlineLevel="0" collapsed="false">
      <c r="A16" s="1" t="n">
        <v>245</v>
      </c>
      <c r="B16" s="1" t="n">
        <v>0.051</v>
      </c>
      <c r="C16" s="1" t="n">
        <v>245</v>
      </c>
      <c r="D16" s="1" t="n">
        <v>0.073</v>
      </c>
      <c r="E16" s="1" t="n">
        <v>245</v>
      </c>
      <c r="F16" s="1" t="n">
        <v>0.086</v>
      </c>
      <c r="G16" s="1" t="n">
        <v>245</v>
      </c>
      <c r="H16" s="1" t="n">
        <v>0.072</v>
      </c>
    </row>
    <row r="17" customFormat="false" ht="12.75" hidden="false" customHeight="true" outlineLevel="0" collapsed="false">
      <c r="A17" s="1" t="n">
        <v>294</v>
      </c>
      <c r="B17" s="1" t="n">
        <v>0.059</v>
      </c>
      <c r="C17" s="1" t="n">
        <v>294</v>
      </c>
      <c r="D17" s="1" t="n">
        <v>0.084</v>
      </c>
      <c r="E17" s="1" t="n">
        <v>294</v>
      </c>
      <c r="F17" s="1" t="n">
        <v>0.097</v>
      </c>
      <c r="G17" s="1" t="n">
        <v>294</v>
      </c>
      <c r="H17" s="1" t="n">
        <v>0.083</v>
      </c>
    </row>
    <row r="18" customFormat="false" ht="12.75" hidden="false" customHeight="true" outlineLevel="0" collapsed="false">
      <c r="A18" s="1" t="n">
        <v>343</v>
      </c>
      <c r="B18" s="1" t="n">
        <v>0.068</v>
      </c>
      <c r="C18" s="1" t="n">
        <v>343</v>
      </c>
      <c r="D18" s="1" t="n">
        <v>0.093</v>
      </c>
      <c r="E18" s="1" t="n">
        <v>343</v>
      </c>
      <c r="F18" s="1" t="n">
        <v>0.107</v>
      </c>
      <c r="G18" s="1" t="n">
        <v>343</v>
      </c>
      <c r="H18" s="1" t="n">
        <v>0.093</v>
      </c>
    </row>
    <row r="19" customFormat="false" ht="12.75" hidden="false" customHeight="true" outlineLevel="0" collapsed="false">
      <c r="A19" s="1" t="n">
        <v>392</v>
      </c>
      <c r="B19" s="1" t="n">
        <v>0.078</v>
      </c>
      <c r="C19" s="1" t="n">
        <v>392</v>
      </c>
      <c r="D19" s="1" t="n">
        <v>0.103</v>
      </c>
      <c r="E19" s="1" t="n">
        <v>392</v>
      </c>
      <c r="F19" s="1" t="n">
        <v>0.119</v>
      </c>
      <c r="G19" s="1" t="n">
        <v>392</v>
      </c>
      <c r="H19" s="1" t="n">
        <v>0.103</v>
      </c>
    </row>
    <row r="20" customFormat="false" ht="12.75" hidden="false" customHeight="true" outlineLevel="0" collapsed="false">
      <c r="A20" s="1" t="n">
        <v>441</v>
      </c>
      <c r="B20" s="1" t="n">
        <v>0.085</v>
      </c>
      <c r="C20" s="1" t="n">
        <v>441</v>
      </c>
      <c r="D20" s="1" t="n">
        <v>0.114</v>
      </c>
      <c r="E20" s="1" t="n">
        <v>441</v>
      </c>
      <c r="F20" s="1" t="n">
        <v>0.128</v>
      </c>
      <c r="G20" s="1" t="n">
        <v>441</v>
      </c>
      <c r="H20" s="1" t="n">
        <v>0.113</v>
      </c>
    </row>
    <row r="21" customFormat="false" ht="12.75" hidden="false" customHeight="true" outlineLevel="0" collapsed="false">
      <c r="A21" s="1" t="n">
        <v>490</v>
      </c>
      <c r="B21" s="1" t="n">
        <v>0.094</v>
      </c>
      <c r="C21" s="1" t="n">
        <v>490</v>
      </c>
      <c r="D21" s="1" t="n">
        <v>0.122</v>
      </c>
      <c r="E21" s="1" t="n">
        <v>490</v>
      </c>
      <c r="F21" s="1" t="n">
        <v>0.139</v>
      </c>
      <c r="G21" s="1" t="n">
        <v>490</v>
      </c>
      <c r="H21" s="1" t="n">
        <v>0.124</v>
      </c>
    </row>
    <row r="22" customFormat="false" ht="12.75" hidden="false" customHeight="true" outlineLevel="0" collapsed="false">
      <c r="A22" s="1" t="n">
        <v>539</v>
      </c>
      <c r="B22" s="1" t="n">
        <v>0.102</v>
      </c>
      <c r="C22" s="1" t="n">
        <v>539</v>
      </c>
      <c r="D22" s="1" t="n">
        <v>0.132</v>
      </c>
      <c r="E22" s="1" t="n">
        <v>539</v>
      </c>
      <c r="F22" s="1" t="n">
        <v>0.15</v>
      </c>
      <c r="G22" s="1" t="n">
        <v>539</v>
      </c>
      <c r="H22" s="1" t="n">
        <v>0.134</v>
      </c>
    </row>
    <row r="23" customFormat="false" ht="12.75" hidden="false" customHeight="true" outlineLevel="0" collapsed="false">
      <c r="A23" s="1" t="n">
        <v>588</v>
      </c>
      <c r="B23" s="1" t="n">
        <v>0.109</v>
      </c>
      <c r="C23" s="1" t="n">
        <v>588</v>
      </c>
      <c r="D23" s="1" t="n">
        <v>0.141</v>
      </c>
      <c r="E23" s="1" t="n">
        <v>588</v>
      </c>
      <c r="F23" s="1" t="n">
        <v>0.159</v>
      </c>
      <c r="G23" s="1" t="n">
        <v>588</v>
      </c>
      <c r="H23" s="1" t="n">
        <v>0.143</v>
      </c>
    </row>
    <row r="24" customFormat="false" ht="12.75" hidden="false" customHeight="true" outlineLevel="0" collapsed="false">
      <c r="A24" s="1" t="n">
        <v>637</v>
      </c>
      <c r="B24" s="1" t="n">
        <v>0.118</v>
      </c>
      <c r="C24" s="1" t="n">
        <v>637</v>
      </c>
      <c r="D24" s="1" t="n">
        <v>0.15</v>
      </c>
      <c r="E24" s="1" t="n">
        <v>637</v>
      </c>
      <c r="F24" s="1" t="n">
        <v>0.169</v>
      </c>
      <c r="G24" s="1" t="n">
        <v>637</v>
      </c>
      <c r="H24" s="1" t="n">
        <v>0.153</v>
      </c>
    </row>
    <row r="25" customFormat="false" ht="12.75" hidden="false" customHeight="true" outlineLevel="0" collapsed="false">
      <c r="A25" s="1" t="n">
        <v>686</v>
      </c>
      <c r="B25" s="1" t="n">
        <v>0.125</v>
      </c>
      <c r="C25" s="1" t="n">
        <v>686</v>
      </c>
      <c r="D25" s="1" t="n">
        <v>0.16</v>
      </c>
      <c r="E25" s="1" t="n">
        <v>686</v>
      </c>
      <c r="F25" s="1" t="n">
        <v>0.178</v>
      </c>
      <c r="G25" s="1" t="n">
        <v>686</v>
      </c>
      <c r="H25" s="1" t="n">
        <v>0.163</v>
      </c>
    </row>
    <row r="26" customFormat="false" ht="12.75" hidden="false" customHeight="true" outlineLevel="0" collapsed="false">
      <c r="A26" s="1" t="n">
        <v>735</v>
      </c>
      <c r="B26" s="1" t="n">
        <v>0.133</v>
      </c>
      <c r="C26" s="1" t="n">
        <v>735</v>
      </c>
      <c r="D26" s="1" t="n">
        <v>0.167</v>
      </c>
      <c r="E26" s="1" t="n">
        <v>735</v>
      </c>
      <c r="F26" s="1" t="n">
        <v>0.187</v>
      </c>
      <c r="G26" s="1" t="n">
        <v>735</v>
      </c>
      <c r="H26" s="1" t="n">
        <v>0.172</v>
      </c>
    </row>
    <row r="27" customFormat="false" ht="12.75" hidden="false" customHeight="true" outlineLevel="0" collapsed="false">
      <c r="A27" s="1" t="n">
        <v>784</v>
      </c>
      <c r="B27" s="1" t="n">
        <v>0.14</v>
      </c>
      <c r="C27" s="1" t="n">
        <v>784</v>
      </c>
      <c r="D27" s="1" t="n">
        <v>0.176</v>
      </c>
      <c r="E27" s="1" t="n">
        <v>784</v>
      </c>
      <c r="F27" s="1" t="n">
        <v>0.197</v>
      </c>
      <c r="G27" s="1" t="n">
        <v>784</v>
      </c>
      <c r="H27" s="1" t="n">
        <v>0.182</v>
      </c>
    </row>
    <row r="28" customFormat="false" ht="12.75" hidden="false" customHeight="true" outlineLevel="0" collapsed="false">
      <c r="A28" s="1" t="n">
        <v>833</v>
      </c>
      <c r="B28" s="1" t="n">
        <v>0.147</v>
      </c>
      <c r="C28" s="1" t="n">
        <v>833</v>
      </c>
      <c r="D28" s="1" t="n">
        <v>0.185</v>
      </c>
      <c r="E28" s="1" t="n">
        <v>833</v>
      </c>
      <c r="F28" s="1" t="n">
        <v>0.205</v>
      </c>
      <c r="G28" s="1" t="n">
        <v>833</v>
      </c>
      <c r="H28" s="1" t="n">
        <v>0.191</v>
      </c>
    </row>
    <row r="29" customFormat="false" ht="12.75" hidden="false" customHeight="true" outlineLevel="0" collapsed="false">
      <c r="A29" s="1" t="n">
        <v>882</v>
      </c>
      <c r="B29" s="1" t="n">
        <v>0.153</v>
      </c>
      <c r="C29" s="1" t="n">
        <v>882</v>
      </c>
      <c r="D29" s="1" t="n">
        <v>0.192</v>
      </c>
      <c r="E29" s="1" t="n">
        <v>882</v>
      </c>
      <c r="F29" s="1" t="n">
        <v>0.214</v>
      </c>
      <c r="G29" s="1" t="n">
        <v>882</v>
      </c>
      <c r="H29" s="1" t="n">
        <v>0.2</v>
      </c>
    </row>
    <row r="30" customFormat="false" ht="12.75" hidden="false" customHeight="true" outlineLevel="0" collapsed="false">
      <c r="A30" s="1" t="n">
        <v>931</v>
      </c>
      <c r="B30" s="1" t="n">
        <v>0.16</v>
      </c>
      <c r="C30" s="1" t="n">
        <v>931</v>
      </c>
      <c r="D30" s="1" t="n">
        <v>0.2</v>
      </c>
      <c r="E30" s="1" t="n">
        <v>931</v>
      </c>
      <c r="F30" s="1" t="n">
        <v>0.223</v>
      </c>
      <c r="G30" s="1" t="n">
        <v>931</v>
      </c>
      <c r="H30" s="1" t="n">
        <v>0.208</v>
      </c>
    </row>
    <row r="31" customFormat="false" ht="12.75" hidden="false" customHeight="true" outlineLevel="0" collapsed="false">
      <c r="A31" s="1" t="n">
        <v>980</v>
      </c>
      <c r="B31" s="1" t="n">
        <v>0.166</v>
      </c>
      <c r="C31" s="1" t="n">
        <v>980</v>
      </c>
      <c r="D31" s="1" t="n">
        <v>0.208</v>
      </c>
      <c r="E31" s="1" t="n">
        <v>980</v>
      </c>
      <c r="F31" s="1" t="n">
        <v>0.231</v>
      </c>
      <c r="G31" s="1" t="n">
        <v>980</v>
      </c>
      <c r="H31" s="1" t="n">
        <v>0.216</v>
      </c>
    </row>
    <row r="32" customFormat="false" ht="12.75" hidden="false" customHeight="true" outlineLevel="0" collapsed="false">
      <c r="A32" s="1" t="n">
        <v>1029</v>
      </c>
      <c r="B32" s="1" t="n">
        <v>0.173</v>
      </c>
      <c r="C32" s="1" t="n">
        <v>1029</v>
      </c>
      <c r="D32" s="1" t="n">
        <v>0.215</v>
      </c>
      <c r="E32" s="1" t="n">
        <v>1029</v>
      </c>
      <c r="F32" s="1" t="n">
        <v>0.238</v>
      </c>
      <c r="G32" s="1" t="n">
        <v>1029</v>
      </c>
      <c r="H32" s="1" t="n">
        <v>0.225</v>
      </c>
    </row>
    <row r="33" customFormat="false" ht="12.75" hidden="false" customHeight="true" outlineLevel="0" collapsed="false">
      <c r="A33" s="1" t="n">
        <v>1078</v>
      </c>
      <c r="B33" s="1" t="n">
        <v>0.179</v>
      </c>
      <c r="C33" s="1" t="n">
        <v>1078</v>
      </c>
      <c r="D33" s="1" t="n">
        <v>0.223</v>
      </c>
      <c r="E33" s="1" t="n">
        <v>1078</v>
      </c>
      <c r="F33" s="1" t="n">
        <v>0.246</v>
      </c>
      <c r="G33" s="1" t="n">
        <v>1078</v>
      </c>
      <c r="H33" s="1" t="n">
        <v>0.233</v>
      </c>
    </row>
    <row r="34" customFormat="false" ht="12.75" hidden="false" customHeight="true" outlineLevel="0" collapsed="false">
      <c r="A34" s="1" t="n">
        <v>1127</v>
      </c>
      <c r="B34" s="1" t="n">
        <v>0.185</v>
      </c>
      <c r="C34" s="1" t="n">
        <v>1127</v>
      </c>
      <c r="D34" s="1" t="n">
        <v>0.229</v>
      </c>
      <c r="E34" s="1" t="n">
        <v>1127</v>
      </c>
      <c r="F34" s="1" t="n">
        <v>0.254</v>
      </c>
      <c r="G34" s="1" t="n">
        <v>1127</v>
      </c>
      <c r="H34" s="1" t="n">
        <v>0.241</v>
      </c>
    </row>
    <row r="35" customFormat="false" ht="12.75" hidden="false" customHeight="true" outlineLevel="0" collapsed="false">
      <c r="A35" s="1" t="n">
        <v>1176</v>
      </c>
      <c r="B35" s="1" t="n">
        <v>0.192</v>
      </c>
      <c r="C35" s="1" t="n">
        <v>1176</v>
      </c>
      <c r="D35" s="1" t="n">
        <v>0.236</v>
      </c>
      <c r="E35" s="1" t="n">
        <v>1176</v>
      </c>
      <c r="F35" s="1" t="n">
        <v>0.262</v>
      </c>
      <c r="G35" s="1" t="n">
        <v>1176</v>
      </c>
      <c r="H35" s="1" t="n">
        <v>0.249</v>
      </c>
    </row>
    <row r="36" customFormat="false" ht="12.75" hidden="false" customHeight="true" outlineLevel="0" collapsed="false">
      <c r="A36" s="1" t="n">
        <v>1225</v>
      </c>
      <c r="B36" s="1" t="n">
        <v>0.198</v>
      </c>
      <c r="C36" s="1" t="n">
        <v>1225</v>
      </c>
      <c r="D36" s="1" t="n">
        <v>0.243</v>
      </c>
      <c r="E36" s="1" t="n">
        <v>1225</v>
      </c>
      <c r="F36" s="1" t="n">
        <v>0.269</v>
      </c>
      <c r="G36" s="1" t="n">
        <v>1225</v>
      </c>
      <c r="H36" s="1" t="n">
        <v>0.258</v>
      </c>
    </row>
    <row r="37" customFormat="false" ht="12.75" hidden="false" customHeight="true" outlineLevel="0" collapsed="false">
      <c r="A37" s="1" t="n">
        <v>1274</v>
      </c>
      <c r="B37" s="1" t="n">
        <v>0.203</v>
      </c>
      <c r="C37" s="1" t="n">
        <v>1274</v>
      </c>
      <c r="D37" s="1" t="n">
        <v>0.25</v>
      </c>
      <c r="E37" s="1" t="n">
        <v>1274</v>
      </c>
      <c r="F37" s="1" t="n">
        <v>0.277</v>
      </c>
      <c r="G37" s="1" t="n">
        <v>1274</v>
      </c>
      <c r="H37" s="1" t="n">
        <v>0.266</v>
      </c>
    </row>
    <row r="38" customFormat="false" ht="12.75" hidden="false" customHeight="true" outlineLevel="0" collapsed="false">
      <c r="A38" s="1" t="n">
        <v>1323</v>
      </c>
      <c r="B38" s="1" t="n">
        <v>0.209</v>
      </c>
      <c r="C38" s="1" t="n">
        <v>1323</v>
      </c>
      <c r="D38" s="1" t="n">
        <v>0.258</v>
      </c>
      <c r="E38" s="1" t="n">
        <v>1323</v>
      </c>
      <c r="F38" s="1" t="n">
        <v>0.283</v>
      </c>
      <c r="G38" s="1" t="n">
        <v>1323</v>
      </c>
      <c r="H38" s="1" t="n">
        <v>0.273</v>
      </c>
      <c r="L38" s="22" t="s">
        <v>115</v>
      </c>
      <c r="M38" s="22" t="s">
        <v>84</v>
      </c>
      <c r="N38" s="22" t="s">
        <v>116</v>
      </c>
    </row>
    <row r="39" customFormat="false" ht="12.75" hidden="false" customHeight="true" outlineLevel="0" collapsed="false">
      <c r="A39" s="1" t="n">
        <v>1372</v>
      </c>
      <c r="B39" s="1" t="n">
        <v>0.214</v>
      </c>
      <c r="C39" s="1" t="n">
        <v>1372</v>
      </c>
      <c r="D39" s="1" t="n">
        <v>0.263</v>
      </c>
      <c r="E39" s="1" t="n">
        <v>1372</v>
      </c>
      <c r="F39" s="1" t="n">
        <v>0.29</v>
      </c>
      <c r="G39" s="1" t="n">
        <v>1372</v>
      </c>
      <c r="H39" s="1" t="n">
        <v>0.28</v>
      </c>
      <c r="L39" s="1" t="n">
        <v>1.84977443246243</v>
      </c>
      <c r="M39" s="22" t="n">
        <v>2.11</v>
      </c>
      <c r="N39" s="1" t="n">
        <f aca="false">L39/M39</f>
        <v>0.87667034713859</v>
      </c>
    </row>
    <row r="40" customFormat="false" ht="12.75" hidden="false" customHeight="true" outlineLevel="0" collapsed="false">
      <c r="A40" s="1" t="n">
        <v>1421</v>
      </c>
      <c r="B40" s="1" t="n">
        <v>0.219</v>
      </c>
      <c r="C40" s="1" t="n">
        <v>1421</v>
      </c>
      <c r="D40" s="1" t="n">
        <v>0.269</v>
      </c>
      <c r="E40" s="1" t="n">
        <v>1421</v>
      </c>
      <c r="F40" s="1" t="n">
        <v>0.298</v>
      </c>
      <c r="G40" s="1" t="n">
        <v>1421</v>
      </c>
      <c r="H40" s="1" t="n">
        <v>0.288</v>
      </c>
      <c r="L40" s="1" t="n">
        <v>3.69954886492485</v>
      </c>
      <c r="M40" s="22" t="n">
        <v>2.36</v>
      </c>
      <c r="N40" s="1" t="n">
        <f aca="false">L40/M40</f>
        <v>1.56760545123934</v>
      </c>
    </row>
    <row r="41" customFormat="false" ht="12.75" hidden="false" customHeight="true" outlineLevel="0" collapsed="false">
      <c r="A41" s="1" t="n">
        <v>1470</v>
      </c>
      <c r="B41" s="1" t="n">
        <v>0.225</v>
      </c>
      <c r="C41" s="1" t="n">
        <v>1470</v>
      </c>
      <c r="D41" s="1" t="n">
        <v>0.277</v>
      </c>
      <c r="E41" s="1" t="n">
        <v>1470</v>
      </c>
      <c r="F41" s="1" t="n">
        <v>0.304</v>
      </c>
      <c r="G41" s="1" t="n">
        <v>1470</v>
      </c>
      <c r="H41" s="1" t="n">
        <v>0.294</v>
      </c>
      <c r="L41" s="1" t="n">
        <v>5.54932329738728</v>
      </c>
      <c r="M41" s="22" t="n">
        <v>2.44</v>
      </c>
      <c r="N41" s="1" t="n">
        <f aca="false">L41/M41</f>
        <v>2.27431282679806</v>
      </c>
    </row>
    <row r="42" customFormat="false" ht="12.75" hidden="false" customHeight="true" outlineLevel="0" collapsed="false">
      <c r="A42" s="1" t="n">
        <v>1519</v>
      </c>
      <c r="B42" s="1" t="n">
        <v>0.23</v>
      </c>
      <c r="C42" s="1" t="n">
        <v>1519</v>
      </c>
      <c r="D42" s="1" t="n">
        <v>0.283</v>
      </c>
      <c r="E42" s="1" t="n">
        <v>1519</v>
      </c>
      <c r="F42" s="1" t="n">
        <v>0.31</v>
      </c>
      <c r="G42" s="1" t="n">
        <v>1519</v>
      </c>
      <c r="H42" s="1" t="n">
        <v>0.304</v>
      </c>
      <c r="L42" s="1" t="n">
        <v>7.3990977298497</v>
      </c>
      <c r="M42" s="22" t="n">
        <v>2.22</v>
      </c>
      <c r="N42" s="1" t="n">
        <f aca="false">L42/M42</f>
        <v>3.3329269053377</v>
      </c>
    </row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2024-12-12T19:27:49Z</dcterms:modified>
  <cp:revision>1</cp:revision>
  <dc:subject/>
  <dc:title/>
</cp:coreProperties>
</file>